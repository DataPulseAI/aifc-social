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Targets" sheetId="2" state="visible" r:id="rId4"/>
    <sheet name="Pipeline" sheetId="3" state="visible" r:id="rId5"/>
    <sheet name="Emails" sheetId="4" state="visible" r:id="rId6"/>
    <sheet name="Cold call" sheetId="5" state="visible" r:id="rId7"/>
    <sheet name="Scoping session" sheetId="6" state="visible" r:id="rId8"/>
  </sheets>
  <definedNames>
    <definedName function="false" hidden="true" localSheetId="1" name="_xlnm._FilterDatabase" vbProcedure="false">Targets!$A$4:$U$19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<sst xmlns="http://schemas.openxmlformats.org/spreadsheetml/2006/main" count="404" uniqueCount="346">
  <si>
    <t xml:space="preserve">AI for Companies: wholesale outreach pack</t>
  </si>
  <si>
    <t xml:space="preserve">First wave, 15 owner-managed wholesalers and merchants in London and the Home Counties. Built 5 October 2026.</t>
  </si>
  <si>
    <t xml:space="preserve">How to use this pack</t>
  </si>
  <si>
    <t xml:space="preserve">What this is</t>
  </si>
  <si>
    <t xml:space="preserve">A prioritised target list with named decision makers, a personal opening line for each, the email sequence, a cold call script and a scoping call guide. Work the Targets tab top to bottom.</t>
  </si>
  <si>
    <t xml:space="preserve">The positioning</t>
  </si>
  <si>
    <t xml:space="preserve">We find where your office loses hours and margin, then build AI that fixes it, using the systems you already run. The first conversation is a free scoping session, never a pitch.</t>
  </si>
  <si>
    <t xml:space="preserve">Immediate value we give</t>
  </si>
  <si>
    <t xml:space="preserve">Every scoping session ends with a one-page Scoping Note within 48 hours: the three biggest time savers we found, rough hours per week for each, and what a fix would involve. They keep it whether or not they work with us.</t>
  </si>
  <si>
    <t xml:space="preserve">Lead use case</t>
  </si>
  <si>
    <t xml:space="preserve">Order entry: AI reads emailed and PDF orders and keys them into the system for checking. Follow-ons: invoice matching, credit control chasers, quote and stock questions, cash and margin visibility.</t>
  </si>
  <si>
    <t xml:space="preserve">Pricing</t>
  </si>
  <si>
    <t xml:space="preserve">Do not quote a price in emails or on the cold call. Price only after the scoping session, alongside the full rate.</t>
  </si>
  <si>
    <t xml:space="preserve">Daily rhythm</t>
  </si>
  <si>
    <t xml:space="preserve">Morning: 10 to 15 personalised emails. Late morning or 4pm to 5pm: calls to the switchboard for the day's day-3 contacts. Log every touch in the Targets tab the same day.</t>
  </si>
  <si>
    <t xml:space="preserve">Dhamecha Group</t>
  </si>
  <si>
    <t xml:space="preserve">Held in reserve at the bottom of the list. Approach only through a family introduction, and only if the other routes stall. Same free scoping offer, no special terms.</t>
  </si>
  <si>
    <t xml:space="preserve">How to use the Targets tab</t>
  </si>
  <si>
    <t xml:space="preserve">Edit only the yellow columns (Status, Last touch, Next action, Notes). Status has a dropdown. The Pipeline tab counts everything automatically.</t>
  </si>
  <si>
    <t xml:space="preserve">Data source</t>
  </si>
  <si>
    <t xml:space="preserve">Companies and contacts from Prospeo, pulled 5 October 2026. Revenue bands are Prospeo estimates and have been unreliable for some firms (Dhamecha is much larger than its band suggests). Check Companies House before pricing. Emails are marked verified by Prospeo; switchboard numbers marked 'check' looked wrong in the data, so take them from the company website.</t>
  </si>
  <si>
    <t xml:space="preserve">Compliance</t>
  </si>
  <si>
    <t xml:space="preserve">Cold email to limited companies is generally permitted under UK PECR if you identify the sender and include a clear opt-out; sole traders and partnerships need consent. Screen numbers against the Corporate TPS before calling and call switchboards rather than personal mobiles. This is not legal advice.</t>
  </si>
  <si>
    <t xml:space="preserve">Rules for the copy</t>
  </si>
  <si>
    <t xml:space="preserve">No invented results, clients or statistics. The demo is a fictional company and is always described as an example. UK English, no exclamation marks.</t>
  </si>
  <si>
    <t xml:space="preserve">Targets, in priority order</t>
  </si>
  <si>
    <t xml:space="preserve">Work top to bottom. Yellow columns are for you to update. Personal lines are drawn from each company's own description; check before sending.</t>
  </si>
  <si>
    <t xml:space="preserve">#</t>
  </si>
  <si>
    <t xml:space="preserve">Company</t>
  </si>
  <si>
    <t xml:space="preserve">Segment</t>
  </si>
  <si>
    <t xml:space="preserve">Location</t>
  </si>
  <si>
    <t xml:space="preserve">Size (est.)</t>
  </si>
  <si>
    <t xml:space="preserve">Why they fit</t>
  </si>
  <si>
    <t xml:space="preserve">Personal opening line</t>
  </si>
  <si>
    <t xml:space="preserve">Primary contact</t>
  </si>
  <si>
    <t xml:space="preserve">Title</t>
  </si>
  <si>
    <t xml:space="preserve">Email</t>
  </si>
  <si>
    <t xml:space="preserve">LinkedIn</t>
  </si>
  <si>
    <t xml:space="preserve">Second contact</t>
  </si>
  <si>
    <t xml:space="preserve">Second title</t>
  </si>
  <si>
    <t xml:space="preserve">Second email</t>
  </si>
  <si>
    <t xml:space="preserve">Switchboard</t>
  </si>
  <si>
    <t xml:space="preserve">Channel plan</t>
  </si>
  <si>
    <t xml:space="preserve">Status</t>
  </si>
  <si>
    <t xml:space="preserve">Last touch</t>
  </si>
  <si>
    <t xml:space="preserve">Next action</t>
  </si>
  <si>
    <t xml:space="preserve">Notes</t>
  </si>
  <si>
    <t xml:space="preserve">Todd Doors</t>
  </si>
  <si>
    <t xml:space="preserve">Doors and ironmongery</t>
  </si>
  <si>
    <t xml:space="preserve">Northolt (local)</t>
  </si>
  <si>
    <t xml:space="preserve">65 staff</t>
  </si>
  <si>
    <t xml:space="preserve">Nine showrooms and collection centres, over 70,000 doors in stock, trade team. High order volume across branches.</t>
  </si>
  <si>
    <t xml:space="preserve">Order entry</t>
  </si>
  <si>
    <t xml:space="preserve">With over 70,000 doors in stock across nine showrooms, I imagine a lot of trade orders still arrive by email and phone and get keyed in by hand.</t>
  </si>
  <si>
    <t xml:space="preserve">Chris Pearce</t>
  </si>
  <si>
    <t xml:space="preserve">Head of Finance</t>
  </si>
  <si>
    <t xml:space="preserve">chris.pearce@todd-doors.co.uk</t>
  </si>
  <si>
    <t xml:space="preserve">Profile</t>
  </si>
  <si>
    <t xml:space="preserve">Stephen Taylor</t>
  </si>
  <si>
    <t xml:space="preserve">Head of Trade Sales</t>
  </si>
  <si>
    <t xml:space="preserve">stephen.taylor@todd-doors.co.uk</t>
  </si>
  <si>
    <t xml:space="preserve">0800 633 5050</t>
  </si>
  <si>
    <t xml:space="preserve">Local: email, then offer to visit Viking House in person</t>
  </si>
  <si>
    <t xml:space="preserve">Called</t>
  </si>
  <si>
    <t xml:space="preserve">6 October 2026</t>
  </si>
  <si>
    <t xml:space="preserve">No reply by Thursday: call Chris Thu 8 or Fri 9 Oct, morning. Then approach Stephen Taylor.</t>
  </si>
  <si>
    <t xml:space="preserve">6 Oct: called Chris Pearce, he asked for an email. Sent follow-up with personalised deck (PDF): first project at our cost, offered Thu 8 Oct 12pm or Fri 9 Oct 9am at Northolt.</t>
  </si>
  <si>
    <t xml:space="preserve">TG Lynes</t>
  </si>
  <si>
    <t xml:space="preserve">Plumbing and heating merchant</t>
  </si>
  <si>
    <t xml:space="preserve">Enfield</t>
  </si>
  <si>
    <t xml:space="preserve">53 staff</t>
  </si>
  <si>
    <t xml:space="preserve">Independent since 1912; supplies mechanical, HVAC and plumbing contractors from a large warehouse and trade counter. Contractors send long emailed material lists.</t>
  </si>
  <si>
    <t xml:space="preserve">Supplying contractors from the Enfield warehouse and trade counter, I'd guess plenty of orders still come in as emailed lists and PDFs.</t>
  </si>
  <si>
    <t xml:space="preserve">Richard Perkins</t>
  </si>
  <si>
    <t xml:space="preserve">Managing Director</t>
  </si>
  <si>
    <t xml:space="preserve">richard.perkins@tglynes.co.uk</t>
  </si>
  <si>
    <t xml:space="preserve">Frankie Bircham</t>
  </si>
  <si>
    <t xml:space="preserve">Operations Director</t>
  </si>
  <si>
    <t xml:space="preserve">frankie.bircham@tglynes.co.uk</t>
  </si>
  <si>
    <t xml:space="preserve">020 8216 1900</t>
  </si>
  <si>
    <t xml:space="preserve">Email MD, copy nobody; call switchboard day 3</t>
  </si>
  <si>
    <t xml:space="preserve">Not started</t>
  </si>
  <si>
    <t xml:space="preserve">Champion Timber</t>
  </si>
  <si>
    <t xml:space="preserve">Timber merchant</t>
  </si>
  <si>
    <t xml:space="preserve">New Malden</t>
  </si>
  <si>
    <t xml:space="preserve">66 staff, 10 branches</t>
  </si>
  <si>
    <t xml:space="preserve">Ten branches across London, Surrey and Kent plus in-house machining and online sales. Cutting lists and orders arrive in many formats.</t>
  </si>
  <si>
    <t xml:space="preserve">Ten branches plus in-house machining means a lot of cutting lists and orders landing in inboxes.</t>
  </si>
  <si>
    <t xml:space="preserve">Glen Murphy</t>
  </si>
  <si>
    <t xml:space="preserve">gmurphy@championtimber.com</t>
  </si>
  <si>
    <t xml:space="preserve">Damian Thomas</t>
  </si>
  <si>
    <t xml:space="preserve">Director of Purchasing</t>
  </si>
  <si>
    <t xml:space="preserve">dthomas@championtimber.com</t>
  </si>
  <si>
    <t xml:space="preserve">020 8949 1621</t>
  </si>
  <si>
    <t xml:space="preserve">Email Ops Director; call switchboard day 3</t>
  </si>
  <si>
    <t xml:space="preserve">Nicholls and Clarke Group</t>
  </si>
  <si>
    <t xml:space="preserve">Building materials</t>
  </si>
  <si>
    <t xml:space="preserve">Dagenham</t>
  </si>
  <si>
    <t xml:space="preserve">167 staff</t>
  </si>
  <si>
    <t xml:space="preserve">Founded 1875, over 60,000 building materials, manufacturer and distributor. Currently hiring sales executives (growth signal).</t>
  </si>
  <si>
    <t xml:space="preserve">Quotes and pricing</t>
  </si>
  <si>
    <t xml:space="preserve">Over 60,000 building materials across the group is a lot of pricing, quoting and order admin to keep accurate, especially while the sales team grows.</t>
  </si>
  <si>
    <t xml:space="preserve">David Forbes</t>
  </si>
  <si>
    <t xml:space="preserve">CEO</t>
  </si>
  <si>
    <t xml:space="preserve">david.forbes@nichollsandclarke.com</t>
  </si>
  <si>
    <t xml:space="preserve">Darryl Hardy</t>
  </si>
  <si>
    <t xml:space="preserve">darryl.hardy@nichollsandclarke.com</t>
  </si>
  <si>
    <t xml:space="preserve">Check website</t>
  </si>
  <si>
    <t xml:space="preserve">Email CEO; Ops Director as fallback after email 3</t>
  </si>
  <si>
    <t xml:space="preserve">JJ Roofing Supplies</t>
  </si>
  <si>
    <t xml:space="preserve">Roofing merchant</t>
  </si>
  <si>
    <t xml:space="preserve">Cricklewood</t>
  </si>
  <si>
    <t xml:space="preserve">64 staff, 9 stores</t>
  </si>
  <si>
    <t xml:space="preserve">Nine stores and a training academy for the trade. Multi-branch stock and order flow.</t>
  </si>
  <si>
    <t xml:space="preserve">With nine stores and your own training academy, you've clearly invested in the trade side. The back office is often where the hours disappear.</t>
  </si>
  <si>
    <t xml:space="preserve">Darren Searles</t>
  </si>
  <si>
    <t xml:space="preserve">darren.searles@jjroofing.co.uk</t>
  </si>
  <si>
    <t xml:space="preserve">0333 700 1111</t>
  </si>
  <si>
    <t xml:space="preserve">Email MD; call switchboard day 3</t>
  </si>
  <si>
    <t xml:space="preserve">Dayla Drinks</t>
  </si>
  <si>
    <t xml:space="preserve">Drinks wholesaler</t>
  </si>
  <si>
    <t xml:space="preserve">Aylesbury</t>
  </si>
  <si>
    <t xml:space="preserve">77 staff</t>
  </si>
  <si>
    <t xml:space="preserve">Fourth-generation family business, over 3,000 products, technical services and equipment hire. Busy daily order desk.</t>
  </si>
  <si>
    <t xml:space="preserve">Four generations and over 3,000 products in, I imagine the order desk is busy from first thing every morning.</t>
  </si>
  <si>
    <t xml:space="preserve">Daniel Cooper</t>
  </si>
  <si>
    <t xml:space="preserve">Managing Director (listed as Sales Director)</t>
  </si>
  <si>
    <t xml:space="preserve">daniel@dayladrinks.co.uk</t>
  </si>
  <si>
    <t xml:space="preserve">Ian Carter</t>
  </si>
  <si>
    <t xml:space="preserve">Head of Operations</t>
  </si>
  <si>
    <t xml:space="preserve">ian.carter@dayladrinks.co.uk</t>
  </si>
  <si>
    <t xml:space="preserve">01296 630013</t>
  </si>
  <si>
    <t xml:space="preserve">Email Daniel; check his current title on LinkedIn first</t>
  </si>
  <si>
    <t xml:space="preserve">Wanis International Foods</t>
  </si>
  <si>
    <t xml:space="preserve">World food wholesale</t>
  </si>
  <si>
    <t xml:space="preserve">Leyton</t>
  </si>
  <si>
    <t xml:space="preserve">93 staff</t>
  </si>
  <si>
    <t xml:space="preserve">10,000 products from nearly 1,000 brands; national and export distribution plus a cash and carry. Heavy supplier invoice volume.</t>
  </si>
  <si>
    <t xml:space="preserve">Invoice matching</t>
  </si>
  <si>
    <t xml:space="preserve">Stocking 10,000 products from nearly 1,000 brands must mean a mountain of supplier invoices to match every month.</t>
  </si>
  <si>
    <t xml:space="preserve">Alam Ameer</t>
  </si>
  <si>
    <t xml:space="preserve">Director</t>
  </si>
  <si>
    <t xml:space="preserve">alam@wanis.com</t>
  </si>
  <si>
    <t xml:space="preserve">George Phillips</t>
  </si>
  <si>
    <t xml:space="preserve">Commercial Director</t>
  </si>
  <si>
    <t xml:space="preserve">george@wanis.com</t>
  </si>
  <si>
    <t xml:space="preserve">Email Alam; George as second thread a week later</t>
  </si>
  <si>
    <t xml:space="preserve">Premier Decorations</t>
  </si>
  <si>
    <t xml:space="preserve">Seasonal goods importer</t>
  </si>
  <si>
    <t xml:space="preserve">Ruislip (near)</t>
  </si>
  <si>
    <t xml:space="preserve">Designer and importer of Christmas and seasonal ranges, trade only, selling to retailers. Stock forecasting is make-or-break.</t>
  </si>
  <si>
    <t xml:space="preserve">Stock and forecasting</t>
  </si>
  <si>
    <t xml:space="preserve">Seasonal ranges make stock unforgiving: order too much and it sits in the warehouse until next Christmas.</t>
  </si>
  <si>
    <t xml:space="preserve">Pravin Patel</t>
  </si>
  <si>
    <t xml:space="preserve">pravin@premierdec.com</t>
  </si>
  <si>
    <t xml:space="preserve">Paul Marsh</t>
  </si>
  <si>
    <t xml:space="preserve">Director of Distribution</t>
  </si>
  <si>
    <t xml:space="preserve">paul.marsh@premierdec.com</t>
  </si>
  <si>
    <t xml:space="preserve">Email Pravin; offer to visit, Ruislip is close</t>
  </si>
  <si>
    <t xml:space="preserve">Pitacs</t>
  </si>
  <si>
    <t xml:space="preserve">Heating, cable and LED distributor</t>
  </si>
  <si>
    <t xml:space="preserve">Milton Keynes</t>
  </si>
  <si>
    <t xml:space="preserve">63 staff</t>
  </si>
  <si>
    <t xml:space="preserve">National distributor of heating products, cables and LED lighting across several brands (AEON, Ultraheat, TIME). Many product lines and customers.</t>
  </si>
  <si>
    <t xml:space="preserve">Running AEON, Ultraheat, TIME Cables and TIME LED under one roof must mean a lot of order and invoice admin across ranges.</t>
  </si>
  <si>
    <t xml:space="preserve">Saffet Kalender</t>
  </si>
  <si>
    <t xml:space="preserve">skalender@pitacs.com</t>
  </si>
  <si>
    <t xml:space="preserve">David Linger</t>
  </si>
  <si>
    <t xml:space="preserve">dlinger@pitacs.com</t>
  </si>
  <si>
    <t xml:space="preserve">01908 640017</t>
  </si>
  <si>
    <t xml:space="preserve">Neville UK</t>
  </si>
  <si>
    <t xml:space="preserve">Hospitality supplies (GenWare)</t>
  </si>
  <si>
    <t xml:space="preserve">Erith</t>
  </si>
  <si>
    <t xml:space="preserve">Supplies GenWare tableware and light catering equipment to foodservice across the UK, Ireland and Europe.</t>
  </si>
  <si>
    <t xml:space="preserve">Supplying GenWare to foodservice customers across the UK, Ireland and Europe means a lot of orders and invoices moving through the office every day.</t>
  </si>
  <si>
    <t xml:space="preserve">Andrew Neville</t>
  </si>
  <si>
    <t xml:space="preserve">aneville@nevilleuk.com</t>
  </si>
  <si>
    <t xml:space="preserve">Tristan Jones</t>
  </si>
  <si>
    <t xml:space="preserve">tjones@nevilleuk.com</t>
  </si>
  <si>
    <t xml:space="preserve">01322 443143</t>
  </si>
  <si>
    <t xml:space="preserve">Email MD. Note: owner John Pompei uses john@nevilles.co.uk</t>
  </si>
  <si>
    <t xml:space="preserve">VIVALDA</t>
  </si>
  <si>
    <t xml:space="preserve">Cladding and building boards</t>
  </si>
  <si>
    <t xml:space="preserve">Park Royal</t>
  </si>
  <si>
    <t xml:space="preserve">61 staff</t>
  </si>
  <si>
    <t xml:space="preserve">Independent cladding distributor (Trespa, Equitone and others) with CNC, cutting optimisation and scheduling services. Quotes and schedules built by hand.</t>
  </si>
  <si>
    <t xml:space="preserve">Quotes and scheduling</t>
  </si>
  <si>
    <t xml:space="preserve">Supplying brands like Trespa and Equitone with cutting and scheduling services means a lot of quotes and schedules built by hand.</t>
  </si>
  <si>
    <t xml:space="preserve">Andy McEwan</t>
  </si>
  <si>
    <t xml:space="preserve">No verified email</t>
  </si>
  <si>
    <t xml:space="preserve">020 8963 9999</t>
  </si>
  <si>
    <t xml:space="preserve">Call switchboard, then LinkedIn connection note</t>
  </si>
  <si>
    <t xml:space="preserve">F.H. Brundle</t>
  </si>
  <si>
    <t xml:space="preserve">Steel and metal products</t>
  </si>
  <si>
    <t xml:space="preserve">Rainham</t>
  </si>
  <si>
    <t xml:space="preserve">145 staff</t>
  </si>
  <si>
    <t xml:space="preserve">Fifth-generation, over 11,000 in-stock lines. No MD found; Head of IT is a credible internal champion.</t>
  </si>
  <si>
    <t xml:space="preserve">Over 11,000 in-stock lines is a lot of orders and quotes to process accurately every day.</t>
  </si>
  <si>
    <t xml:space="preserve">Kevin Cook</t>
  </si>
  <si>
    <t xml:space="preserve">Head of IT Support</t>
  </si>
  <si>
    <t xml:space="preserve">kevin.cook@fhbrundle.co.uk</t>
  </si>
  <si>
    <t xml:space="preserve">Find MD on LinkedIn first; Kevin as route in</t>
  </si>
  <si>
    <t xml:space="preserve">Hoo Hing</t>
  </si>
  <si>
    <t xml:space="preserve">Oriental food importer and wholesale</t>
  </si>
  <si>
    <t xml:space="preserve">Romford</t>
  </si>
  <si>
    <t xml:space="preserve">76 staff</t>
  </si>
  <si>
    <t xml:space="preserve">Importer supplying wholesalers, caterers and households through several stores. Multiple order streams.</t>
  </si>
  <si>
    <t xml:space="preserve">Supplying wholesalers, caterers and shoppers through several stores means orders arriving through a lot of different routes.</t>
  </si>
  <si>
    <t xml:space="preserve">Not found</t>
  </si>
  <si>
    <t xml:space="preserve">Find on LinkedIn</t>
  </si>
  <si>
    <t xml:space="preserve">020 8548 3636</t>
  </si>
  <si>
    <t xml:space="preserve">Call switchboard, ask who runs the office or finance</t>
  </si>
  <si>
    <t xml:space="preserve">NPW</t>
  </si>
  <si>
    <t xml:space="preserve">Gifts and novelty wholesale</t>
  </si>
  <si>
    <t xml:space="preserve">Putney</t>
  </si>
  <si>
    <t xml:space="preserve">92 staff</t>
  </si>
  <si>
    <t xml:space="preserve">Impulse gifting supplier to retailers. Data on this firm was unreliable; lowest priority.</t>
  </si>
  <si>
    <t xml:space="preserve">Supplying impulse gifting ranges to retailers means a lot of small orders to process.</t>
  </si>
  <si>
    <t xml:space="preserve">Research properly before contacting</t>
  </si>
  <si>
    <t xml:space="preserve">Cash and carry</t>
  </si>
  <si>
    <t xml:space="preserve">Wembley (local)</t>
  </si>
  <si>
    <t xml:space="preserve">1,000+ colleagues, 13 depots</t>
  </si>
  <si>
    <t xml:space="preserve">Family-owned, 13 depots, serves over 18,000 independent retailers. Biggest prize on the list; FD is the right buyer.</t>
  </si>
  <si>
    <t xml:space="preserve">Invoice matching and credit control</t>
  </si>
  <si>
    <t xml:space="preserve">Serving over 18,000 independent retailers from 13 depots must create a huge amount of order and account admin, and we're just up the road from you in Wembley.</t>
  </si>
  <si>
    <t xml:space="preserve">Fayaaz Shariff</t>
  </si>
  <si>
    <t xml:space="preserve">Finance Director</t>
  </si>
  <si>
    <t xml:space="preserve">fayaaz@dhamecha.com</t>
  </si>
  <si>
    <t xml:space="preserve">020 8902 4420</t>
  </si>
  <si>
    <t xml:space="preserve">Reserve: family introduction only, if other routes stall. No cold email or calls.</t>
  </si>
  <si>
    <t xml:space="preserve">Reserve</t>
  </si>
  <si>
    <t xml:space="preserve">Legend: yellow = you update. Next action turns red when due. Status turns green once a scoping call is booked.</t>
  </si>
  <si>
    <t xml:space="preserve">Pipeline</t>
  </si>
  <si>
    <t xml:space="preserve">Counts update from the Status column on the Targets tab.</t>
  </si>
  <si>
    <t xml:space="preserve">Stage</t>
  </si>
  <si>
    <t xml:space="preserve">Count</t>
  </si>
  <si>
    <t xml:space="preserve">Target for first wave</t>
  </si>
  <si>
    <t xml:space="preserve">Warm routes held back</t>
  </si>
  <si>
    <t xml:space="preserve">Emailed 1</t>
  </si>
  <si>
    <t xml:space="preserve">Emailed 2</t>
  </si>
  <si>
    <t xml:space="preserve">Emailed 3</t>
  </si>
  <si>
    <t xml:space="preserve">Replied</t>
  </si>
  <si>
    <t xml:space="preserve">Aim: 3 to 4 replies from 15</t>
  </si>
  <si>
    <t xml:space="preserve">Scoping booked</t>
  </si>
  <si>
    <t xml:space="preserve">Aim: 2 to 3 sessions</t>
  </si>
  <si>
    <t xml:space="preserve">Scoping done</t>
  </si>
  <si>
    <t xml:space="preserve">Proposal sent</t>
  </si>
  <si>
    <t xml:space="preserve">Won</t>
  </si>
  <si>
    <t xml:space="preserve">Aim: 1 paid engagement</t>
  </si>
  <si>
    <t xml:space="preserve">Not now</t>
  </si>
  <si>
    <t xml:space="preserve">Not a fit</t>
  </si>
  <si>
    <t xml:space="preserve">Total targets</t>
  </si>
  <si>
    <t xml:space="preserve">Scoping sessions booked or later</t>
  </si>
  <si>
    <t xml:space="preserve">Reply to scoping rate</t>
  </si>
  <si>
    <t xml:space="preserve">Targets are planning aims for this wave, not benchmarks.</t>
  </si>
  <si>
    <t xml:space="preserve">Email sequence</t>
  </si>
  <si>
    <t xml:space="preserve">Merge fields in {curly brackets} come from the Targets tab. Under 120 words each, one ask, no price, no link in email 1.</t>
  </si>
  <si>
    <t xml:space="preserve">Sequence</t>
  </si>
  <si>
    <t xml:space="preserve">Email 1 · Day 1</t>
  </si>
  <si>
    <t xml:space="preserve">Subject A: Order entry at {Company}
Subject B: How many hours a week go on order entry?
Hi {First name},
{Personal opening line}
In many wholesalers, someone in the office still retypes emailed and PDF orders into the system, matches supplier invoices by hand and chases overdue accounts from a spreadsheet. It's slow, and it's where errors creep in.
We build AI that takes this work off the office team, using the systems you already run: orders read and entered ready for checking, invoices matched automatically, and overdue accounts prioritised with the chasers drafted.
Would a free 30-minute scoping session be useful? We'd look at how orders and invoices move through your office, and you'd get a one-page note of the three biggest time savers, whether or not we work together.
Viren Samani
AI for Companies</t>
  </si>
  <si>
    <t xml:space="preserve">Email 2 · Day 4 (same thread)</t>
  </si>
  <si>
    <t xml:space="preserve">Hi {First name},
A quick example of the kind of thing we build. For a fictional three-branch distributor, we pulled accounts, bank, stock and CRM data into one live view: cash, margin by customer, and a forecast that flags a shortfall six weeks ahead.
{Demo link}
The same approach works for {Lead use case, lower case}. We're taking on a small number of founding clients this quarter, on reduced terms in exchange for a testimonial.
Worth 30 minutes to scope what it could look like at {Company}?
Viren</t>
  </si>
  <si>
    <t xml:space="preserve">Email 3 · Day 9 (same thread)</t>
  </si>
  <si>
    <t xml:space="preserve">Hi {First name},
Last note from me. If order entry, invoice matching or credit control is taking up office time at {Company}, reply "yes" and I'll send over a few times.
If not, no problem, and we won't email again.
Viren</t>
  </si>
  <si>
    <t xml:space="preserve">After a call · same day</t>
  </si>
  <si>
    <t xml:space="preserve">Subject: Scoping session, {Company}
Hi {First name},
Thanks for the time on the phone today. As promised, the scoping session is 30 minutes, on a call or at your office. We'll walk through how orders and invoices move today, and within 48 hours you'll get a one-page note of the three biggest time savers with rough hours for each.
{Agreed day and time} works for us. I'll send an invite now.
Viren</t>
  </si>
  <si>
    <t xml:space="preserve">LinkedIn connection note</t>
  </si>
  <si>
    <t xml:space="preserve">Hi {First name}, I help wholesalers take admin off the office team with AI, mostly order entry and invoice matching. {Company} looked like an interesting business. Happy to connect.</t>
  </si>
  <si>
    <t xml:space="preserve">Footer on every email</t>
  </si>
  <si>
    <t xml:space="preserve">AI for Companies is a trading name of DataPulse AI Limited, registered in England and Wales, company number 16397998, {registered address}. If you'd rather not hear from us, reply "no thanks" and we'll remove you.</t>
  </si>
  <si>
    <t xml:space="preserve">Sending notes</t>
  </si>
  <si>
    <t xml:space="preserve">Send 10 to 15 a day from a secondary domain, each with its personal line. Email the primary contact only; bring the second contact in after email 3 or once you are talking. Make sure the demo page opens for people outside your organisation before email 2 goes.</t>
  </si>
  <si>
    <t xml:space="preserve">Cold call script</t>
  </si>
  <si>
    <t xml:space="preserve">Call the switchboard on day 3, after email 1. Best windows: 8:30 to 9:15am and 4 to 5:30pm. Aim for a booked scoping session, nothing more.</t>
  </si>
  <si>
    <t xml:space="preserve">The call, step by step</t>
  </si>
  <si>
    <t xml:space="preserve">"Hi, could you put me through to {First name} {Last name}, please?" If asked what it's about: "I sent {First name} a note earlier this week about the order desk; I'm following up." Be friendly and brief. If they are out, ask when is best to call back and note it.</t>
  </si>
  <si>
    <t xml:space="preserve">Opener (permission)</t>
  </si>
  <si>
    <t xml:space="preserve">"Hi {First name}, it's Viren from AI for Companies. This is a cold call, so I'll be quick. Can I take 30 seconds to say why I rang, and you can tell me if it's worth carrying on?"</t>
  </si>
  <si>
    <t xml:space="preserve">Reason for the call</t>
  </si>
  <si>
    <t xml:space="preserve">"We help wholesalers take admin off the office team using AI on the systems they already have: mostly order entry, supplier invoice matching and credit control. I rang you because {personal opening line, said naturally}."</t>
  </si>
  <si>
    <t xml:space="preserve">One question</t>
  </si>
  <si>
    <t xml:space="preserve">"How do most of your orders come in at the moment: email, phone, a portal?"  Then: "And who keys them in?"  Listen. Let them talk. Ask one follow-up about volume or time.</t>
  </si>
  <si>
    <t xml:space="preserve">The offer (immediate value)</t>
  </si>
  <si>
    <t xml:space="preserve">"What we normally suggest is a free 30-minute scoping session. We look at how orders and invoices move through your office, and within 48 hours you get a one-page note of the three biggest time savers, with rough hours for each. It's yours to keep whether or not we work together. Would later this week or early next suit better?"</t>
  </si>
  <si>
    <t xml:space="preserve">Close</t>
  </si>
  <si>
    <t xml:space="preserve">Offer two specific times. Confirm email address. Send the 'After a call' email within the hour.</t>
  </si>
  <si>
    <t xml:space="preserve">Voicemail</t>
  </si>
  <si>
    <t xml:space="preserve">"Hi {First name}, Viren from AI for Companies. I sent you a note about taking order entry and invoice matching off the office team. No need to call back; I'll follow up by email. Thanks."  (Keep it under 20 seconds.)</t>
  </si>
  <si>
    <t xml:space="preserve">Objections</t>
  </si>
  <si>
    <t xml:space="preserve">"Just send me an email"</t>
  </si>
  <si>
    <t xml:space="preserve">"Happy to. So I send something useful: what's the bigger time drain right now, orders or invoices?" Then send a two-line email tailored to the answer.</t>
  </si>
  <si>
    <t xml:space="preserve">"We already have a system"</t>
  </si>
  <si>
    <t xml:space="preserve">"Makes sense, and we'd work with it, not replace it. Most of what we do sits around the system: getting emailed orders into it, or matching what comes out of it. Does anything still get retyped?"</t>
  </si>
  <si>
    <t xml:space="preserve">"We tried AI, it didn't work"</t>
  </si>
  <si>
    <t xml:space="preserve">"That's common when it's a generic tool. We start from one specific job, scope it on your real documents, and only build if the numbers stack up. The scoping session is free, so there's no risk in checking."</t>
  </si>
  <si>
    <t xml:space="preserve">"No budget"</t>
  </si>
  <si>
    <t xml:space="preserve">"Understood. The scoping note costs nothing, and it puts a number on the hours so you can decide later whether it's worth a budget."</t>
  </si>
  <si>
    <t xml:space="preserve">"Who are you, how big are you?"</t>
  </si>
  <si>
    <t xml:space="preserve">"A small, senior team. I lead every project personally; I spent five years at JP Morgan in strategy and data before setting this up. We'd rather do a few things properly than a lot of things badly."</t>
  </si>
  <si>
    <t xml:space="preserve">"Not interested"</t>
  </si>
  <si>
    <t xml:space="preserve">"No problem at all. Can I ask, is it that the office is on top of it, or just not a priority this year?" Note the answer, thank them, mark 'Not now' and set a reminder for 3 months.</t>
  </si>
  <si>
    <t xml:space="preserve">Scoping session guide</t>
  </si>
  <si>
    <t xml:space="preserve">30 to 45 minutes. Positioned as a scoping exercise: we are working out together whether there is something worth fixing. You talk 30%, they talk 70%.</t>
  </si>
  <si>
    <t xml:space="preserve">Agenda</t>
  </si>
  <si>
    <t xml:space="preserve">1. Frame it · 2 min</t>
  </si>
  <si>
    <t xml:space="preserve">"Thanks for the time. The aim today is to understand how orders, invoices and reporting work, find where the hours go, and see if there's anything worth fixing. If there isn't, I'll tell you. Either way you'll get a one-page note afterwards. Sound fair?"</t>
  </si>
  <si>
    <t xml:space="preserve">2. Context · 5 min</t>
  </si>
  <si>
    <t xml:space="preserve">What does the business look like now: branches, customers, team in the office? What systems do you run for accounts, stock, orders and CRM? What's changed in the last year?</t>
  </si>
  <si>
    <t xml:space="preserve">3. Walk the process · 15 min</t>
  </si>
  <si>
    <t xml:space="preserve">Take one real order from arrival to cash. Ask them to share a screen or show an actual email order if possible. Ask the questions on the right, and write down every number they give you.</t>
  </si>
  <si>
    <t xml:space="preserve">4. Quantify · 5 min</t>
  </si>
  <si>
    <t xml:space="preserve">Play back the three biggest drains with their own numbers: "So that's roughly 2 people, 3 hours a day on order entry, around 30 hours a week. Have I got that right?" Let them correct you.</t>
  </si>
  <si>
    <t xml:space="preserve">5. Priority and decision · 5 min</t>
  </si>
  <si>
    <t xml:space="preserve">"If you could fix one of these this quarter, which would it be?"  "Who else would want a say in this?"  "Is there a time of year this matters most?"</t>
  </si>
  <si>
    <t xml:space="preserve">6. Next step · 3 min</t>
  </si>
  <si>
    <t xml:space="preserve">"I'll send the scoping note by {day}. It'll have the three opportunities, rough hours, and what a fix would involve. Can we take 20 minutes on {day} to walk through it?" Book it before you hang up.</t>
  </si>
  <si>
    <t xml:space="preserve">Area</t>
  </si>
  <si>
    <t xml:space="preserve">Questions to ask</t>
  </si>
  <si>
    <t xml:space="preserve">Why it matters</t>
  </si>
  <si>
    <t xml:space="preserve">Orders</t>
  </si>
  <si>
    <t xml:space="preserve">How many orders a day? What share arrive by email or PDF? Who keys them in, and how long does each take? How often are there errors?</t>
  </si>
  <si>
    <t xml:space="preserve">Sizes the order entry opportunity, the strongest first project.</t>
  </si>
  <si>
    <t xml:space="preserve">Supplier invoices</t>
  </si>
  <si>
    <t xml:space="preserve">How many supplier invoices a month? How are they matched to orders and deliveries? What happens with discrepancies?</t>
  </si>
  <si>
    <t xml:space="preserve">Invoice matching is a quick, measurable win.</t>
  </si>
  <si>
    <t xml:space="preserve">Credit control</t>
  </si>
  <si>
    <t xml:space="preserve">How many accounts are overdue? Who chases, and how do they decide who first? What are debtor days compared with terms?</t>
  </si>
  <si>
    <t xml:space="preserve">Ties directly to cash, which owners feel.</t>
  </si>
  <si>
    <t xml:space="preserve">Quotes and questions</t>
  </si>
  <si>
    <t xml:space="preserve">How many price, stock or quote requests a day? Who answers them and from where?</t>
  </si>
  <si>
    <t xml:space="preserve">An assistant on their price lists saves sales office time.</t>
  </si>
  <si>
    <t xml:space="preserve">Reporting</t>
  </si>
  <si>
    <t xml:space="preserve">What do you look at weekly and monthly? Who builds it and how long does it take? What do you wish you could see?</t>
  </si>
  <si>
    <t xml:space="preserve">Opens the visibility work and the demo.</t>
  </si>
  <si>
    <t xml:space="preserve">Systems and data</t>
  </si>
  <si>
    <t xml:space="preserve">Which accounting, stock and CRM systems? Cloud or on-premise? Who supports them? Any exports or APIs in use?</t>
  </si>
  <si>
    <t xml:space="preserve">Feasibility and build effort.</t>
  </si>
  <si>
    <t xml:space="preserve">Decision</t>
  </si>
  <si>
    <t xml:space="preserve">Who signs off spend on this? What would make it a clear yes? Any timing constraints (year end, peak season)?</t>
  </si>
  <si>
    <t xml:space="preserve">Avoids a note that goes nowhere.</t>
  </si>
  <si>
    <t xml:space="preserve">After the session</t>
  </si>
  <si>
    <t xml:space="preserve">Scoping Note structure</t>
  </si>
  <si>
    <t xml:space="preserve">One page, sent within 48 hours. 1) What we heard, in their words. 2) Three opportunities, each with: what happens today, hours per week (their numbers), what a fix involves, rough timeline. 3) Our recommendation for where to start. 4) Next step: a paid diagnostic or a fixed-scope first build, priced on the follow-up call, alongside the full rate.</t>
  </si>
  <si>
    <t xml:space="preserve">Qualify out</t>
  </si>
  <si>
    <t xml:space="preserve">Walk away politely if: fewer than about 20 orders a day and no other pain, no access to systems or data, or nobody who can sign off. Say so in the note; it builds trust and referrals.</t>
  </si>
  <si>
    <t xml:space="preserve">Update Status to 'Scoping done', log the numbers in Notes, send the Scoping Note, and book the walkthrough.</t>
  </si>
</sst>
</file>

<file path=xl/styles.xml><?xml version="1.0" encoding="utf-8"?>
<styleSheet xmlns="http://schemas.openxmlformats.org/spreadsheetml/2006/main">
  <numFmts count="3">
    <numFmt numFmtId="164" formatCode="General"/>
    <numFmt numFmtId="165" formatCode="dd\ mmm\ yyyy"/>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6"/>
      <color rgb="FF2B4A6F"/>
      <name val="Arial"/>
      <family val="0"/>
      <charset val="1"/>
    </font>
    <font>
      <sz val="10"/>
      <color rgb="FF5A6A64"/>
      <name val="Arial"/>
      <family val="0"/>
      <charset val="1"/>
    </font>
    <font>
      <b val="true"/>
      <sz val="12"/>
      <color rgb="FF2B4A6F"/>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1F5FBF"/>
      <name val="Arial"/>
      <family val="0"/>
      <charset val="1"/>
    </font>
    <font>
      <i val="true"/>
      <sz val="9"/>
      <color rgb="FF5A6A64"/>
      <name val="Arial"/>
      <family val="0"/>
      <charset val="1"/>
    </font>
  </fonts>
  <fills count="4">
    <fill>
      <patternFill patternType="none"/>
    </fill>
    <fill>
      <patternFill patternType="gray125"/>
    </fill>
    <fill>
      <patternFill patternType="solid">
        <fgColor rgb="FF2B4A6F"/>
        <bgColor rgb="FF333333"/>
      </patternFill>
    </fill>
    <fill>
      <patternFill patternType="solid">
        <fgColor rgb="FFFFF4CC"/>
        <bgColor rgb="FFF8E5E2"/>
      </patternFill>
    </fill>
  </fills>
  <borders count="2">
    <border diagonalUp="false" diagonalDown="false">
      <left/>
      <right/>
      <top/>
      <bottom/>
      <diagonal/>
    </border>
    <border diagonalUp="false" diagonalDown="false">
      <left/>
      <right/>
      <top/>
      <bottom style="thin">
        <color rgb="FFD3DA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2B4A6F"/>
          <bgColor rgb="FF000000"/>
        </patternFill>
      </fill>
    </dxf>
    <dxf>
      <fill>
        <patternFill patternType="solid">
          <bgColor rgb="FF000000"/>
        </patternFill>
      </fill>
    </dxf>
    <dxf>
      <fill>
        <patternFill patternType="solid">
          <fgColor rgb="FFFFFFFF"/>
          <bgColor rgb="FF000000"/>
        </patternFill>
      </fill>
    </dxf>
    <dxf>
      <fill>
        <patternFill patternType="solid">
          <fgColor rgb="FF1F5FBF"/>
          <bgColor rgb="FF000000"/>
        </patternFill>
      </fill>
    </dxf>
    <dxf>
      <fill>
        <patternFill patternType="solid">
          <fgColor rgb="FFF3F5F8"/>
          <bgColor rgb="FF000000"/>
        </patternFill>
      </fill>
    </dxf>
    <dxf>
      <fill>
        <patternFill patternType="solid">
          <fgColor rgb="FFFFF4CC"/>
          <bgColor rgb="FF000000"/>
        </patternFill>
      </fill>
    </dxf>
    <dxf>
      <fill>
        <patternFill>
          <bgColor rgb="FFE3F1EA"/>
        </patternFill>
      </fill>
    </dxf>
    <dxf>
      <fill>
        <patternFill>
          <bgColor rgb="FFF3F5F8"/>
        </patternFill>
      </fill>
    </dxf>
    <dxf>
      <fill>
        <patternFill>
          <bgColor rgb="FFF8E5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3AEBB"/>
      <rgbColor rgb="FF808080"/>
      <rgbColor rgb="FF9999FF"/>
      <rgbColor rgb="FF993366"/>
      <rgbColor rgb="FFFFF4CC"/>
      <rgbColor rgb="FFE3F1EA"/>
      <rgbColor rgb="FF660066"/>
      <rgbColor rgb="FFFF8080"/>
      <rgbColor rgb="FF1F5FBF"/>
      <rgbColor rgb="FFD3DAE3"/>
      <rgbColor rgb="FF000080"/>
      <rgbColor rgb="FFFF00FF"/>
      <rgbColor rgb="FFFFFF00"/>
      <rgbColor rgb="FF00FFFF"/>
      <rgbColor rgb="FF800080"/>
      <rgbColor rgb="FF800000"/>
      <rgbColor rgb="FF008080"/>
      <rgbColor rgb="FF0000FF"/>
      <rgbColor rgb="FF00CCFF"/>
      <rgbColor rgb="FFF3F5F8"/>
      <rgbColor rgb="FFCCFFCC"/>
      <rgbColor rgb="FFFFFF99"/>
      <rgbColor rgb="FF99CCFF"/>
      <rgbColor rgb="FFFF99CC"/>
      <rgbColor rgb="FFCC99FF"/>
      <rgbColor rgb="FFF8E5E2"/>
      <rgbColor rgb="FF3366FF"/>
      <rgbColor rgb="FF33CCCC"/>
      <rgbColor rgb="FF99CC00"/>
      <rgbColor rgb="FFFFCC00"/>
      <rgbColor rgb="FFFF9900"/>
      <rgbColor rgb="FFFF6600"/>
      <rgbColor rgb="FF5A6A64"/>
      <rgbColor rgb="FF969696"/>
      <rgbColor rgb="FF003366"/>
      <rgbColor rgb="FF339966"/>
      <rgbColor rgb="FF003300"/>
      <rgbColor rgb="FF333300"/>
      <rgbColor rgb="FF993300"/>
      <rgbColor rgb="FF993366"/>
      <rgbColor rgb="FF2B4A6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linkedin.com/in/chris-pearce-05515168" TargetMode="External"/><Relationship Id="rId2" Type="http://schemas.openxmlformats.org/officeDocument/2006/relationships/hyperlink" Target="https://www.linkedin.com/in/richard-perkins-5226213a" TargetMode="External"/><Relationship Id="rId3" Type="http://schemas.openxmlformats.org/officeDocument/2006/relationships/hyperlink" Target="https://www.linkedin.com/in/glen-murphy-a3709794" TargetMode="External"/><Relationship Id="rId4" Type="http://schemas.openxmlformats.org/officeDocument/2006/relationships/hyperlink" Target="https://www.linkedin.com/in/david-forbes-52a06a24" TargetMode="External"/><Relationship Id="rId5" Type="http://schemas.openxmlformats.org/officeDocument/2006/relationships/hyperlink" Target="https://www.linkedin.com/in/darren-searles-6474a085" TargetMode="External"/><Relationship Id="rId6" Type="http://schemas.openxmlformats.org/officeDocument/2006/relationships/hyperlink" Target="https://www.linkedin.com/in/daniel-cooper-792b7241" TargetMode="External"/><Relationship Id="rId7" Type="http://schemas.openxmlformats.org/officeDocument/2006/relationships/hyperlink" Target="https://www.linkedin.com/in/alam-ameer-2a035439" TargetMode="External"/><Relationship Id="rId8" Type="http://schemas.openxmlformats.org/officeDocument/2006/relationships/hyperlink" Target="https://www.linkedin.com/in/pravin-patel-5700b68" TargetMode="External"/><Relationship Id="rId9" Type="http://schemas.openxmlformats.org/officeDocument/2006/relationships/hyperlink" Target="https://www.linkedin.com/in/saffet-kalender-244a95119" TargetMode="External"/><Relationship Id="rId10" Type="http://schemas.openxmlformats.org/officeDocument/2006/relationships/hyperlink" Target="https://www.linkedin.com/in/andrew-neville-85013315" TargetMode="External"/><Relationship Id="rId11" Type="http://schemas.openxmlformats.org/officeDocument/2006/relationships/hyperlink" Target="https://www.linkedin.com/in/andy-mcewan-5b141a32" TargetMode="External"/><Relationship Id="rId12" Type="http://schemas.openxmlformats.org/officeDocument/2006/relationships/hyperlink" Target="https://www.linkedin.com/in/kevin-cook-b2b5a657" TargetMode="External"/><Relationship Id="rId13" Type="http://schemas.openxmlformats.org/officeDocument/2006/relationships/hyperlink" Target="https://www.linkedin.com/in/fayaaz-shariff-06a2a727" TargetMode="External"/><Relationship Id="rId1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B4A6F"/>
    <pageSetUpPr fitToPage="false"/>
  </sheetPr>
  <dimension ref="A1:B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10"/>
  </cols>
  <sheetData>
    <row r="1" customFormat="false" ht="19.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23.25" hidden="false" customHeight="true" outlineLevel="0" collapsed="false">
      <c r="A5" s="5" t="s">
        <v>3</v>
      </c>
      <c r="B5" s="6" t="s">
        <v>4</v>
      </c>
    </row>
    <row r="6" customFormat="false" ht="23.25" hidden="false" customHeight="true" outlineLevel="0" collapsed="false">
      <c r="A6" s="5" t="s">
        <v>5</v>
      </c>
      <c r="B6" s="6" t="s">
        <v>6</v>
      </c>
    </row>
    <row r="7" customFormat="false" ht="23.25" hidden="false" customHeight="true" outlineLevel="0" collapsed="false">
      <c r="A7" s="5" t="s">
        <v>7</v>
      </c>
      <c r="B7" s="6" t="s">
        <v>8</v>
      </c>
    </row>
    <row r="8" customFormat="false" ht="23.25" hidden="false" customHeight="true" outlineLevel="0" collapsed="false">
      <c r="A8" s="5" t="s">
        <v>9</v>
      </c>
      <c r="B8" s="6" t="s">
        <v>10</v>
      </c>
    </row>
    <row r="9" customFormat="false" ht="15" hidden="false" customHeight="true" outlineLevel="0" collapsed="false">
      <c r="A9" s="5" t="s">
        <v>11</v>
      </c>
      <c r="B9" s="6" t="s">
        <v>12</v>
      </c>
    </row>
    <row r="10" customFormat="false" ht="23.25" hidden="false" customHeight="true" outlineLevel="0" collapsed="false">
      <c r="A10" s="5" t="s">
        <v>13</v>
      </c>
      <c r="B10" s="6" t="s">
        <v>14</v>
      </c>
    </row>
    <row r="11" customFormat="false" ht="23.25" hidden="false" customHeight="true" outlineLevel="0" collapsed="false">
      <c r="A11" s="5" t="s">
        <v>15</v>
      </c>
      <c r="B11" s="6" t="s">
        <v>16</v>
      </c>
    </row>
    <row r="12" customFormat="false" ht="23.25" hidden="false" customHeight="true" outlineLevel="0" collapsed="false">
      <c r="A12" s="5" t="s">
        <v>17</v>
      </c>
      <c r="B12" s="6" t="s">
        <v>18</v>
      </c>
    </row>
    <row r="13" customFormat="false" ht="34.5" hidden="false" customHeight="true" outlineLevel="0" collapsed="false">
      <c r="A13" s="5" t="s">
        <v>19</v>
      </c>
      <c r="B13" s="6" t="s">
        <v>20</v>
      </c>
    </row>
    <row r="14" customFormat="false" ht="34.5" hidden="false" customHeight="true" outlineLevel="0" collapsed="false">
      <c r="A14" s="5" t="s">
        <v>21</v>
      </c>
      <c r="B14" s="6" t="s">
        <v>22</v>
      </c>
    </row>
    <row r="15" customFormat="false" ht="23.25" hidden="false" customHeight="true" outlineLevel="0" collapsed="false">
      <c r="A15" s="5" t="s">
        <v>23</v>
      </c>
      <c r="B15" s="6"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B4A6F"/>
    <pageSetUpPr fitToPage="false"/>
  </sheetPr>
  <dimension ref="A1:U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18"/>
    <col collapsed="false" customWidth="true" hidden="false" outlineLevel="0" max="5" min="4" style="1" width="14"/>
    <col collapsed="false" customWidth="true" hidden="false" outlineLevel="0" max="6" min="6" style="1" width="38"/>
    <col collapsed="false" customWidth="true" hidden="false" outlineLevel="0" max="7" min="7" style="1" width="20"/>
    <col collapsed="false" customWidth="true" hidden="false" outlineLevel="0" max="8" min="8" style="1" width="52"/>
    <col collapsed="false" customWidth="true" hidden="false" outlineLevel="0" max="9" min="9" style="1" width="18"/>
    <col collapsed="false" customWidth="true" hidden="false" outlineLevel="0" max="10" min="10" style="1" width="20"/>
    <col collapsed="false" customWidth="true" hidden="false" outlineLevel="0" max="11" min="11" style="1" width="32"/>
    <col collapsed="false" customWidth="true" hidden="false" outlineLevel="0" max="13" min="12" style="1" width="18"/>
    <col collapsed="false" customWidth="true" hidden="false" outlineLevel="0" max="14" min="14" style="1" width="20"/>
    <col collapsed="false" customWidth="true" hidden="false" outlineLevel="0" max="15" min="15" style="1" width="32"/>
    <col collapsed="false" customWidth="true" hidden="false" outlineLevel="0" max="16" min="16" style="1" width="16"/>
    <col collapsed="false" customWidth="true" hidden="false" outlineLevel="0" max="17" min="17" style="1" width="26"/>
    <col collapsed="false" customWidth="true" hidden="false" outlineLevel="0" max="18" min="18" style="1" width="16"/>
    <col collapsed="false" customWidth="true" hidden="false" outlineLevel="0" max="20" min="19" style="1" width="12"/>
    <col collapsed="false" customWidth="true" hidden="false" outlineLevel="0" max="21" min="21" style="1" width="30"/>
  </cols>
  <sheetData>
    <row r="1" customFormat="false" ht="19.5" hidden="false" customHeight="true" outlineLevel="0" collapsed="false">
      <c r="A1" s="2" t="s">
        <v>25</v>
      </c>
    </row>
    <row r="2" customFormat="false" ht="15" hidden="false" customHeight="true" outlineLevel="0" collapsed="false">
      <c r="A2" s="3" t="s">
        <v>26</v>
      </c>
    </row>
    <row r="4" customFormat="false" ht="31.5" hidden="false" customHeight="true" outlineLevel="0" collapsed="false">
      <c r="A4" s="7" t="s">
        <v>27</v>
      </c>
      <c r="B4" s="7" t="s">
        <v>28</v>
      </c>
      <c r="C4" s="7" t="s">
        <v>29</v>
      </c>
      <c r="D4" s="7" t="s">
        <v>30</v>
      </c>
      <c r="E4" s="7" t="s">
        <v>31</v>
      </c>
      <c r="F4" s="7" t="s">
        <v>32</v>
      </c>
      <c r="G4" s="7" t="s">
        <v>9</v>
      </c>
      <c r="H4" s="7" t="s">
        <v>33</v>
      </c>
      <c r="I4" s="7" t="s">
        <v>34</v>
      </c>
      <c r="J4" s="7" t="s">
        <v>35</v>
      </c>
      <c r="K4" s="7" t="s">
        <v>36</v>
      </c>
      <c r="L4" s="7" t="s">
        <v>37</v>
      </c>
      <c r="M4" s="7" t="s">
        <v>38</v>
      </c>
      <c r="N4" s="7" t="s">
        <v>39</v>
      </c>
      <c r="O4" s="7" t="s">
        <v>40</v>
      </c>
      <c r="P4" s="7" t="s">
        <v>41</v>
      </c>
      <c r="Q4" s="7" t="s">
        <v>42</v>
      </c>
      <c r="R4" s="7" t="s">
        <v>43</v>
      </c>
      <c r="S4" s="7" t="s">
        <v>44</v>
      </c>
      <c r="T4" s="7" t="s">
        <v>45</v>
      </c>
      <c r="U4" s="7" t="s">
        <v>46</v>
      </c>
    </row>
    <row r="5" customFormat="false" ht="78" hidden="false" customHeight="true" outlineLevel="0" collapsed="false">
      <c r="A5" s="6" t="n">
        <v>1</v>
      </c>
      <c r="B5" s="5" t="s">
        <v>47</v>
      </c>
      <c r="C5" s="6" t="s">
        <v>48</v>
      </c>
      <c r="D5" s="6" t="s">
        <v>49</v>
      </c>
      <c r="E5" s="6" t="s">
        <v>50</v>
      </c>
      <c r="F5" s="6" t="s">
        <v>51</v>
      </c>
      <c r="G5" s="6" t="s">
        <v>52</v>
      </c>
      <c r="H5" s="6" t="s">
        <v>53</v>
      </c>
      <c r="I5" s="6" t="s">
        <v>54</v>
      </c>
      <c r="J5" s="6" t="s">
        <v>55</v>
      </c>
      <c r="K5" s="6" t="s">
        <v>56</v>
      </c>
      <c r="L5" s="8" t="s">
        <v>57</v>
      </c>
      <c r="M5" s="6" t="s">
        <v>58</v>
      </c>
      <c r="N5" s="6" t="s">
        <v>59</v>
      </c>
      <c r="O5" s="6" t="s">
        <v>60</v>
      </c>
      <c r="P5" s="6" t="s">
        <v>61</v>
      </c>
      <c r="Q5" s="6" t="s">
        <v>62</v>
      </c>
      <c r="R5" s="9" t="s">
        <v>63</v>
      </c>
      <c r="S5" s="10" t="s">
        <v>64</v>
      </c>
      <c r="T5" s="10" t="s">
        <v>65</v>
      </c>
      <c r="U5" s="9" t="s">
        <v>66</v>
      </c>
    </row>
    <row r="6" customFormat="false" ht="78" hidden="false" customHeight="true" outlineLevel="0" collapsed="false">
      <c r="A6" s="6" t="n">
        <v>2</v>
      </c>
      <c r="B6" s="5" t="s">
        <v>67</v>
      </c>
      <c r="C6" s="6" t="s">
        <v>68</v>
      </c>
      <c r="D6" s="6" t="s">
        <v>69</v>
      </c>
      <c r="E6" s="6" t="s">
        <v>70</v>
      </c>
      <c r="F6" s="6" t="s">
        <v>71</v>
      </c>
      <c r="G6" s="6" t="s">
        <v>52</v>
      </c>
      <c r="H6" s="6" t="s">
        <v>72</v>
      </c>
      <c r="I6" s="6" t="s">
        <v>73</v>
      </c>
      <c r="J6" s="6" t="s">
        <v>74</v>
      </c>
      <c r="K6" s="6" t="s">
        <v>75</v>
      </c>
      <c r="L6" s="8" t="s">
        <v>57</v>
      </c>
      <c r="M6" s="6" t="s">
        <v>76</v>
      </c>
      <c r="N6" s="6" t="s">
        <v>77</v>
      </c>
      <c r="O6" s="6" t="s">
        <v>78</v>
      </c>
      <c r="P6" s="6" t="s">
        <v>79</v>
      </c>
      <c r="Q6" s="6" t="s">
        <v>80</v>
      </c>
      <c r="R6" s="9" t="s">
        <v>81</v>
      </c>
      <c r="S6" s="10"/>
      <c r="T6" s="10"/>
      <c r="U6" s="9"/>
    </row>
    <row r="7" customFormat="false" ht="78" hidden="false" customHeight="true" outlineLevel="0" collapsed="false">
      <c r="A7" s="6" t="n">
        <v>3</v>
      </c>
      <c r="B7" s="5" t="s">
        <v>82</v>
      </c>
      <c r="C7" s="6" t="s">
        <v>83</v>
      </c>
      <c r="D7" s="6" t="s">
        <v>84</v>
      </c>
      <c r="E7" s="6" t="s">
        <v>85</v>
      </c>
      <c r="F7" s="6" t="s">
        <v>86</v>
      </c>
      <c r="G7" s="6" t="s">
        <v>52</v>
      </c>
      <c r="H7" s="6" t="s">
        <v>87</v>
      </c>
      <c r="I7" s="6" t="s">
        <v>88</v>
      </c>
      <c r="J7" s="6" t="s">
        <v>77</v>
      </c>
      <c r="K7" s="6" t="s">
        <v>89</v>
      </c>
      <c r="L7" s="8" t="s">
        <v>57</v>
      </c>
      <c r="M7" s="6" t="s">
        <v>90</v>
      </c>
      <c r="N7" s="6" t="s">
        <v>91</v>
      </c>
      <c r="O7" s="6" t="s">
        <v>92</v>
      </c>
      <c r="P7" s="6" t="s">
        <v>93</v>
      </c>
      <c r="Q7" s="6" t="s">
        <v>94</v>
      </c>
      <c r="R7" s="9" t="s">
        <v>81</v>
      </c>
      <c r="S7" s="10"/>
      <c r="T7" s="10"/>
      <c r="U7" s="9"/>
    </row>
    <row r="8" customFormat="false" ht="78" hidden="false" customHeight="true" outlineLevel="0" collapsed="false">
      <c r="A8" s="6" t="n">
        <v>4</v>
      </c>
      <c r="B8" s="5" t="s">
        <v>95</v>
      </c>
      <c r="C8" s="6" t="s">
        <v>96</v>
      </c>
      <c r="D8" s="6" t="s">
        <v>97</v>
      </c>
      <c r="E8" s="6" t="s">
        <v>98</v>
      </c>
      <c r="F8" s="6" t="s">
        <v>99</v>
      </c>
      <c r="G8" s="6" t="s">
        <v>100</v>
      </c>
      <c r="H8" s="6" t="s">
        <v>101</v>
      </c>
      <c r="I8" s="6" t="s">
        <v>102</v>
      </c>
      <c r="J8" s="6" t="s">
        <v>103</v>
      </c>
      <c r="K8" s="6" t="s">
        <v>104</v>
      </c>
      <c r="L8" s="8" t="s">
        <v>57</v>
      </c>
      <c r="M8" s="6" t="s">
        <v>105</v>
      </c>
      <c r="N8" s="6" t="s">
        <v>77</v>
      </c>
      <c r="O8" s="6" t="s">
        <v>106</v>
      </c>
      <c r="P8" s="6" t="s">
        <v>107</v>
      </c>
      <c r="Q8" s="6" t="s">
        <v>108</v>
      </c>
      <c r="R8" s="9" t="s">
        <v>81</v>
      </c>
      <c r="S8" s="10"/>
      <c r="T8" s="10"/>
      <c r="U8" s="9"/>
    </row>
    <row r="9" customFormat="false" ht="78" hidden="false" customHeight="true" outlineLevel="0" collapsed="false">
      <c r="A9" s="6" t="n">
        <v>5</v>
      </c>
      <c r="B9" s="5" t="s">
        <v>109</v>
      </c>
      <c r="C9" s="6" t="s">
        <v>110</v>
      </c>
      <c r="D9" s="6" t="s">
        <v>111</v>
      </c>
      <c r="E9" s="6" t="s">
        <v>112</v>
      </c>
      <c r="F9" s="6" t="s">
        <v>113</v>
      </c>
      <c r="G9" s="6" t="s">
        <v>52</v>
      </c>
      <c r="H9" s="6" t="s">
        <v>114</v>
      </c>
      <c r="I9" s="6" t="s">
        <v>115</v>
      </c>
      <c r="J9" s="6" t="s">
        <v>74</v>
      </c>
      <c r="K9" s="6" t="s">
        <v>116</v>
      </c>
      <c r="L9" s="8" t="s">
        <v>57</v>
      </c>
      <c r="M9" s="6"/>
      <c r="N9" s="6"/>
      <c r="O9" s="6"/>
      <c r="P9" s="6" t="s">
        <v>117</v>
      </c>
      <c r="Q9" s="6" t="s">
        <v>118</v>
      </c>
      <c r="R9" s="9" t="s">
        <v>81</v>
      </c>
      <c r="S9" s="10"/>
      <c r="T9" s="10"/>
      <c r="U9" s="9"/>
    </row>
    <row r="10" customFormat="false" ht="78" hidden="false" customHeight="true" outlineLevel="0" collapsed="false">
      <c r="A10" s="6" t="n">
        <v>6</v>
      </c>
      <c r="B10" s="5" t="s">
        <v>119</v>
      </c>
      <c r="C10" s="6" t="s">
        <v>120</v>
      </c>
      <c r="D10" s="6" t="s">
        <v>121</v>
      </c>
      <c r="E10" s="6" t="s">
        <v>122</v>
      </c>
      <c r="F10" s="6" t="s">
        <v>123</v>
      </c>
      <c r="G10" s="6" t="s">
        <v>52</v>
      </c>
      <c r="H10" s="6" t="s">
        <v>124</v>
      </c>
      <c r="I10" s="6" t="s">
        <v>125</v>
      </c>
      <c r="J10" s="6" t="s">
        <v>126</v>
      </c>
      <c r="K10" s="6" t="s">
        <v>127</v>
      </c>
      <c r="L10" s="8" t="s">
        <v>57</v>
      </c>
      <c r="M10" s="6" t="s">
        <v>128</v>
      </c>
      <c r="N10" s="6" t="s">
        <v>129</v>
      </c>
      <c r="O10" s="6" t="s">
        <v>130</v>
      </c>
      <c r="P10" s="6" t="s">
        <v>131</v>
      </c>
      <c r="Q10" s="6" t="s">
        <v>132</v>
      </c>
      <c r="R10" s="9" t="s">
        <v>81</v>
      </c>
      <c r="S10" s="10"/>
      <c r="T10" s="10"/>
      <c r="U10" s="9"/>
    </row>
    <row r="11" customFormat="false" ht="78" hidden="false" customHeight="true" outlineLevel="0" collapsed="false">
      <c r="A11" s="6" t="n">
        <v>7</v>
      </c>
      <c r="B11" s="5" t="s">
        <v>133</v>
      </c>
      <c r="C11" s="6" t="s">
        <v>134</v>
      </c>
      <c r="D11" s="6" t="s">
        <v>135</v>
      </c>
      <c r="E11" s="6" t="s">
        <v>136</v>
      </c>
      <c r="F11" s="6" t="s">
        <v>137</v>
      </c>
      <c r="G11" s="6" t="s">
        <v>138</v>
      </c>
      <c r="H11" s="6" t="s">
        <v>139</v>
      </c>
      <c r="I11" s="6" t="s">
        <v>140</v>
      </c>
      <c r="J11" s="6" t="s">
        <v>141</v>
      </c>
      <c r="K11" s="6" t="s">
        <v>142</v>
      </c>
      <c r="L11" s="8" t="s">
        <v>57</v>
      </c>
      <c r="M11" s="6" t="s">
        <v>143</v>
      </c>
      <c r="N11" s="6" t="s">
        <v>144</v>
      </c>
      <c r="O11" s="6" t="s">
        <v>145</v>
      </c>
      <c r="P11" s="6" t="s">
        <v>107</v>
      </c>
      <c r="Q11" s="6" t="s">
        <v>146</v>
      </c>
      <c r="R11" s="9" t="s">
        <v>81</v>
      </c>
      <c r="S11" s="10"/>
      <c r="T11" s="10"/>
      <c r="U11" s="9"/>
    </row>
    <row r="12" customFormat="false" ht="78" hidden="false" customHeight="true" outlineLevel="0" collapsed="false">
      <c r="A12" s="6" t="n">
        <v>8</v>
      </c>
      <c r="B12" s="5" t="s">
        <v>147</v>
      </c>
      <c r="C12" s="6" t="s">
        <v>148</v>
      </c>
      <c r="D12" s="6" t="s">
        <v>149</v>
      </c>
      <c r="E12" s="6" t="s">
        <v>122</v>
      </c>
      <c r="F12" s="6" t="s">
        <v>150</v>
      </c>
      <c r="G12" s="6" t="s">
        <v>151</v>
      </c>
      <c r="H12" s="6" t="s">
        <v>152</v>
      </c>
      <c r="I12" s="6" t="s">
        <v>153</v>
      </c>
      <c r="J12" s="6" t="s">
        <v>141</v>
      </c>
      <c r="K12" s="6" t="s">
        <v>154</v>
      </c>
      <c r="L12" s="8" t="s">
        <v>57</v>
      </c>
      <c r="M12" s="6" t="s">
        <v>155</v>
      </c>
      <c r="N12" s="6" t="s">
        <v>156</v>
      </c>
      <c r="O12" s="6" t="s">
        <v>157</v>
      </c>
      <c r="P12" s="6" t="s">
        <v>107</v>
      </c>
      <c r="Q12" s="6" t="s">
        <v>158</v>
      </c>
      <c r="R12" s="9" t="s">
        <v>81</v>
      </c>
      <c r="S12" s="10"/>
      <c r="T12" s="10"/>
      <c r="U12" s="9"/>
    </row>
    <row r="13" customFormat="false" ht="78" hidden="false" customHeight="true" outlineLevel="0" collapsed="false">
      <c r="A13" s="6" t="n">
        <v>9</v>
      </c>
      <c r="B13" s="5" t="s">
        <v>159</v>
      </c>
      <c r="C13" s="6" t="s">
        <v>160</v>
      </c>
      <c r="D13" s="6" t="s">
        <v>161</v>
      </c>
      <c r="E13" s="6" t="s">
        <v>162</v>
      </c>
      <c r="F13" s="6" t="s">
        <v>163</v>
      </c>
      <c r="G13" s="6" t="s">
        <v>52</v>
      </c>
      <c r="H13" s="6" t="s">
        <v>164</v>
      </c>
      <c r="I13" s="6" t="s">
        <v>165</v>
      </c>
      <c r="J13" s="6" t="s">
        <v>74</v>
      </c>
      <c r="K13" s="6" t="s">
        <v>166</v>
      </c>
      <c r="L13" s="8" t="s">
        <v>57</v>
      </c>
      <c r="M13" s="6" t="s">
        <v>167</v>
      </c>
      <c r="N13" s="6" t="s">
        <v>144</v>
      </c>
      <c r="O13" s="6" t="s">
        <v>168</v>
      </c>
      <c r="P13" s="6" t="s">
        <v>169</v>
      </c>
      <c r="Q13" s="6" t="s">
        <v>118</v>
      </c>
      <c r="R13" s="9" t="s">
        <v>81</v>
      </c>
      <c r="S13" s="10"/>
      <c r="T13" s="10"/>
      <c r="U13" s="9"/>
    </row>
    <row r="14" customFormat="false" ht="78" hidden="false" customHeight="true" outlineLevel="0" collapsed="false">
      <c r="A14" s="6" t="n">
        <v>10</v>
      </c>
      <c r="B14" s="5" t="s">
        <v>170</v>
      </c>
      <c r="C14" s="6" t="s">
        <v>171</v>
      </c>
      <c r="D14" s="6" t="s">
        <v>172</v>
      </c>
      <c r="E14" s="6" t="s">
        <v>162</v>
      </c>
      <c r="F14" s="6" t="s">
        <v>173</v>
      </c>
      <c r="G14" s="6" t="s">
        <v>52</v>
      </c>
      <c r="H14" s="6" t="s">
        <v>174</v>
      </c>
      <c r="I14" s="6" t="s">
        <v>175</v>
      </c>
      <c r="J14" s="6" t="s">
        <v>74</v>
      </c>
      <c r="K14" s="6" t="s">
        <v>176</v>
      </c>
      <c r="L14" s="8" t="s">
        <v>57</v>
      </c>
      <c r="M14" s="6" t="s">
        <v>177</v>
      </c>
      <c r="N14" s="6" t="s">
        <v>77</v>
      </c>
      <c r="O14" s="6" t="s">
        <v>178</v>
      </c>
      <c r="P14" s="6" t="s">
        <v>179</v>
      </c>
      <c r="Q14" s="6" t="s">
        <v>180</v>
      </c>
      <c r="R14" s="9" t="s">
        <v>81</v>
      </c>
      <c r="S14" s="10"/>
      <c r="T14" s="10"/>
      <c r="U14" s="9"/>
    </row>
    <row r="15" customFormat="false" ht="78" hidden="false" customHeight="true" outlineLevel="0" collapsed="false">
      <c r="A15" s="6" t="n">
        <v>11</v>
      </c>
      <c r="B15" s="5" t="s">
        <v>181</v>
      </c>
      <c r="C15" s="6" t="s">
        <v>182</v>
      </c>
      <c r="D15" s="6" t="s">
        <v>183</v>
      </c>
      <c r="E15" s="6" t="s">
        <v>184</v>
      </c>
      <c r="F15" s="6" t="s">
        <v>185</v>
      </c>
      <c r="G15" s="6" t="s">
        <v>186</v>
      </c>
      <c r="H15" s="6" t="s">
        <v>187</v>
      </c>
      <c r="I15" s="6" t="s">
        <v>188</v>
      </c>
      <c r="J15" s="6" t="s">
        <v>103</v>
      </c>
      <c r="K15" s="6" t="s">
        <v>189</v>
      </c>
      <c r="L15" s="8" t="s">
        <v>57</v>
      </c>
      <c r="M15" s="6"/>
      <c r="N15" s="6"/>
      <c r="O15" s="6"/>
      <c r="P15" s="6" t="s">
        <v>190</v>
      </c>
      <c r="Q15" s="6" t="s">
        <v>191</v>
      </c>
      <c r="R15" s="9" t="s">
        <v>81</v>
      </c>
      <c r="S15" s="10"/>
      <c r="T15" s="10"/>
      <c r="U15" s="9"/>
    </row>
    <row r="16" customFormat="false" ht="78" hidden="false" customHeight="true" outlineLevel="0" collapsed="false">
      <c r="A16" s="6" t="n">
        <v>12</v>
      </c>
      <c r="B16" s="5" t="s">
        <v>192</v>
      </c>
      <c r="C16" s="6" t="s">
        <v>193</v>
      </c>
      <c r="D16" s="6" t="s">
        <v>194</v>
      </c>
      <c r="E16" s="6" t="s">
        <v>195</v>
      </c>
      <c r="F16" s="6" t="s">
        <v>196</v>
      </c>
      <c r="G16" s="6" t="s">
        <v>52</v>
      </c>
      <c r="H16" s="6" t="s">
        <v>197</v>
      </c>
      <c r="I16" s="6" t="s">
        <v>198</v>
      </c>
      <c r="J16" s="6" t="s">
        <v>199</v>
      </c>
      <c r="K16" s="6" t="s">
        <v>200</v>
      </c>
      <c r="L16" s="8" t="s">
        <v>57</v>
      </c>
      <c r="M16" s="6"/>
      <c r="N16" s="6"/>
      <c r="O16" s="6"/>
      <c r="P16" s="6" t="s">
        <v>107</v>
      </c>
      <c r="Q16" s="6" t="s">
        <v>201</v>
      </c>
      <c r="R16" s="9" t="s">
        <v>81</v>
      </c>
      <c r="S16" s="10"/>
      <c r="T16" s="10"/>
      <c r="U16" s="9"/>
    </row>
    <row r="17" customFormat="false" ht="78" hidden="false" customHeight="true" outlineLevel="0" collapsed="false">
      <c r="A17" s="6" t="n">
        <v>13</v>
      </c>
      <c r="B17" s="5" t="s">
        <v>202</v>
      </c>
      <c r="C17" s="6" t="s">
        <v>203</v>
      </c>
      <c r="D17" s="6" t="s">
        <v>204</v>
      </c>
      <c r="E17" s="6" t="s">
        <v>205</v>
      </c>
      <c r="F17" s="6" t="s">
        <v>206</v>
      </c>
      <c r="G17" s="6" t="s">
        <v>52</v>
      </c>
      <c r="H17" s="6" t="s">
        <v>207</v>
      </c>
      <c r="I17" s="6" t="s">
        <v>208</v>
      </c>
      <c r="J17" s="6" t="s">
        <v>209</v>
      </c>
      <c r="K17" s="6"/>
      <c r="L17" s="6"/>
      <c r="M17" s="6"/>
      <c r="N17" s="6"/>
      <c r="O17" s="6"/>
      <c r="P17" s="6" t="s">
        <v>210</v>
      </c>
      <c r="Q17" s="6" t="s">
        <v>211</v>
      </c>
      <c r="R17" s="9" t="s">
        <v>81</v>
      </c>
      <c r="S17" s="10"/>
      <c r="T17" s="10"/>
      <c r="U17" s="9"/>
    </row>
    <row r="18" customFormat="false" ht="78" hidden="false" customHeight="true" outlineLevel="0" collapsed="false">
      <c r="A18" s="6" t="n">
        <v>14</v>
      </c>
      <c r="B18" s="5" t="s">
        <v>212</v>
      </c>
      <c r="C18" s="6" t="s">
        <v>213</v>
      </c>
      <c r="D18" s="6" t="s">
        <v>214</v>
      </c>
      <c r="E18" s="6" t="s">
        <v>215</v>
      </c>
      <c r="F18" s="6" t="s">
        <v>216</v>
      </c>
      <c r="G18" s="6" t="s">
        <v>52</v>
      </c>
      <c r="H18" s="6" t="s">
        <v>217</v>
      </c>
      <c r="I18" s="6" t="s">
        <v>208</v>
      </c>
      <c r="J18" s="6" t="s">
        <v>209</v>
      </c>
      <c r="K18" s="6"/>
      <c r="L18" s="6"/>
      <c r="M18" s="6"/>
      <c r="N18" s="6"/>
      <c r="O18" s="6"/>
      <c r="P18" s="6" t="s">
        <v>107</v>
      </c>
      <c r="Q18" s="6" t="s">
        <v>218</v>
      </c>
      <c r="R18" s="9" t="s">
        <v>81</v>
      </c>
      <c r="S18" s="10"/>
      <c r="T18" s="10"/>
      <c r="U18" s="9"/>
    </row>
    <row r="19" customFormat="false" ht="78" hidden="false" customHeight="true" outlineLevel="0" collapsed="false">
      <c r="A19" s="6" t="n">
        <v>15</v>
      </c>
      <c r="B19" s="5" t="s">
        <v>15</v>
      </c>
      <c r="C19" s="6" t="s">
        <v>219</v>
      </c>
      <c r="D19" s="6" t="s">
        <v>220</v>
      </c>
      <c r="E19" s="6" t="s">
        <v>221</v>
      </c>
      <c r="F19" s="6" t="s">
        <v>222</v>
      </c>
      <c r="G19" s="6" t="s">
        <v>223</v>
      </c>
      <c r="H19" s="6" t="s">
        <v>224</v>
      </c>
      <c r="I19" s="6" t="s">
        <v>225</v>
      </c>
      <c r="J19" s="6" t="s">
        <v>226</v>
      </c>
      <c r="K19" s="6" t="s">
        <v>227</v>
      </c>
      <c r="L19" s="8" t="s">
        <v>57</v>
      </c>
      <c r="M19" s="6"/>
      <c r="N19" s="6"/>
      <c r="O19" s="6"/>
      <c r="P19" s="6" t="s">
        <v>228</v>
      </c>
      <c r="Q19" s="6" t="s">
        <v>229</v>
      </c>
      <c r="R19" s="9" t="s">
        <v>230</v>
      </c>
      <c r="S19" s="10"/>
      <c r="T19" s="10"/>
      <c r="U19" s="9"/>
    </row>
    <row r="21" customFormat="false" ht="15" hidden="false" customHeight="true" outlineLevel="0" collapsed="false">
      <c r="B21" s="11" t="s">
        <v>231</v>
      </c>
    </row>
  </sheetData>
  <autoFilter ref="A4:U19"/>
  <conditionalFormatting sqref="R5:R19">
    <cfRule type="expression" priority="2" aboveAverage="0" equalAverage="0" bottom="0" percent="0" rank="0" text="" dxfId="6">
      <formula>OR(R5="Scoping booked",R5="Scoping done",R5="Proposal sent",R5="Won")</formula>
    </cfRule>
    <cfRule type="expression" priority="3" aboveAverage="0" equalAverage="0" bottom="0" percent="0" rank="0" text="" dxfId="7">
      <formula>OR(R5="Not now",R5="Not a fit",R5="Reserve")</formula>
    </cfRule>
  </conditionalFormatting>
  <conditionalFormatting sqref="T5:T19">
    <cfRule type="expression" priority="4" aboveAverage="0" equalAverage="0" bottom="0" percent="0" rank="0" text="" dxfId="8">
      <formula>AND(T5&lt;&gt;"",T5&lt;=TODAY(),R5&lt;&gt;"Won",R5&lt;&gt;"Not a fit")</formula>
    </cfRule>
  </conditionalFormatting>
  <dataValidations count="1">
    <dataValidation allowBlank="true" errorStyle="stop" operator="between" showDropDown="false" showErrorMessage="false" showInputMessage="false" sqref="R5:R19" type="list">
      <formula1>"Not started,Reserve,Emailed 1,Emailed 2,Emailed 3,Called,Replied,Scoping booked,Scoping done,Proposal sent,Won,Not now,Not a fit"</formula1>
      <formula2>0</formula2>
    </dataValidation>
  </dataValidations>
  <hyperlinks>
    <hyperlink ref="L5" r:id="rId1" display="Profile"/>
    <hyperlink ref="L6" r:id="rId2" display="Profile"/>
    <hyperlink ref="L7" r:id="rId3" display="Profile"/>
    <hyperlink ref="L8" r:id="rId4" display="Profile"/>
    <hyperlink ref="L9" r:id="rId5" display="Profile"/>
    <hyperlink ref="L10" r:id="rId6" display="Profile"/>
    <hyperlink ref="L11" r:id="rId7" display="Profile"/>
    <hyperlink ref="L12" r:id="rId8" display="Profile"/>
    <hyperlink ref="L13" r:id="rId9" display="Profile"/>
    <hyperlink ref="L14" r:id="rId10" display="Profile"/>
    <hyperlink ref="L15" r:id="rId11" display="Profile"/>
    <hyperlink ref="L16" r:id="rId12" display="Profile"/>
    <hyperlink ref="L19" r:id="rId13" display="Profil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AEBB"/>
    <pageSetUpPr fitToPage="false"/>
  </sheetPr>
  <dimension ref="A1:C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2"/>
    <col collapsed="false" customWidth="true" hidden="false" outlineLevel="0" max="3" min="3" style="1" width="40"/>
  </cols>
  <sheetData>
    <row r="1" customFormat="false" ht="19.5" hidden="false" customHeight="true" outlineLevel="0" collapsed="false">
      <c r="A1" s="2" t="s">
        <v>232</v>
      </c>
    </row>
    <row r="2" customFormat="false" ht="15" hidden="false" customHeight="true" outlineLevel="0" collapsed="false">
      <c r="A2" s="3" t="s">
        <v>233</v>
      </c>
    </row>
    <row r="4" customFormat="false" ht="31.5" hidden="false" customHeight="true" outlineLevel="0" collapsed="false">
      <c r="A4" s="7" t="s">
        <v>234</v>
      </c>
      <c r="B4" s="7" t="s">
        <v>235</v>
      </c>
      <c r="C4" s="7" t="s">
        <v>236</v>
      </c>
    </row>
    <row r="5" customFormat="false" ht="15" hidden="false" customHeight="true" outlineLevel="0" collapsed="false">
      <c r="A5" s="12" t="s">
        <v>81</v>
      </c>
      <c r="B5" s="12" t="n">
        <f aca="false">COUNTIF(Targets!$R$5:$R$19,A5)</f>
        <v>13</v>
      </c>
      <c r="C5" s="13"/>
    </row>
    <row r="6" customFormat="false" ht="15" hidden="false" customHeight="true" outlineLevel="0" collapsed="false">
      <c r="A6" s="12" t="s">
        <v>230</v>
      </c>
      <c r="B6" s="12" t="n">
        <f aca="false">COUNTIF(Targets!$R$5:$R$19,A6)</f>
        <v>1</v>
      </c>
      <c r="C6" s="13" t="s">
        <v>237</v>
      </c>
    </row>
    <row r="7" customFormat="false" ht="15" hidden="false" customHeight="true" outlineLevel="0" collapsed="false">
      <c r="A7" s="12" t="s">
        <v>238</v>
      </c>
      <c r="B7" s="12" t="n">
        <f aca="false">COUNTIF(Targets!$R$5:$R$19,A7)</f>
        <v>0</v>
      </c>
      <c r="C7" s="13"/>
    </row>
    <row r="8" customFormat="false" ht="15" hidden="false" customHeight="true" outlineLevel="0" collapsed="false">
      <c r="A8" s="12" t="s">
        <v>239</v>
      </c>
      <c r="B8" s="12" t="n">
        <f aca="false">COUNTIF(Targets!$R$5:$R$19,A8)</f>
        <v>0</v>
      </c>
      <c r="C8" s="13"/>
    </row>
    <row r="9" customFormat="false" ht="15" hidden="false" customHeight="true" outlineLevel="0" collapsed="false">
      <c r="A9" s="12" t="s">
        <v>240</v>
      </c>
      <c r="B9" s="12" t="n">
        <f aca="false">COUNTIF(Targets!$R$5:$R$19,A9)</f>
        <v>0</v>
      </c>
      <c r="C9" s="13"/>
    </row>
    <row r="10" customFormat="false" ht="15" hidden="false" customHeight="true" outlineLevel="0" collapsed="false">
      <c r="A10" s="12" t="s">
        <v>63</v>
      </c>
      <c r="B10" s="12" t="n">
        <f aca="false">COUNTIF(Targets!$R$5:$R$19,A10)</f>
        <v>1</v>
      </c>
      <c r="C10" s="13"/>
    </row>
    <row r="11" customFormat="false" ht="15" hidden="false" customHeight="true" outlineLevel="0" collapsed="false">
      <c r="A11" s="12" t="s">
        <v>241</v>
      </c>
      <c r="B11" s="12" t="n">
        <f aca="false">COUNTIF(Targets!$R$5:$R$19,A11)</f>
        <v>0</v>
      </c>
      <c r="C11" s="13" t="s">
        <v>242</v>
      </c>
    </row>
    <row r="12" customFormat="false" ht="15" hidden="false" customHeight="true" outlineLevel="0" collapsed="false">
      <c r="A12" s="12" t="s">
        <v>243</v>
      </c>
      <c r="B12" s="12" t="n">
        <f aca="false">COUNTIF(Targets!$R$5:$R$19,A12)</f>
        <v>0</v>
      </c>
      <c r="C12" s="13" t="s">
        <v>244</v>
      </c>
    </row>
    <row r="13" customFormat="false" ht="15" hidden="false" customHeight="true" outlineLevel="0" collapsed="false">
      <c r="A13" s="12" t="s">
        <v>245</v>
      </c>
      <c r="B13" s="12" t="n">
        <f aca="false">COUNTIF(Targets!$R$5:$R$19,A13)</f>
        <v>0</v>
      </c>
      <c r="C13" s="13"/>
    </row>
    <row r="14" customFormat="false" ht="15" hidden="false" customHeight="true" outlineLevel="0" collapsed="false">
      <c r="A14" s="12" t="s">
        <v>246</v>
      </c>
      <c r="B14" s="12" t="n">
        <f aca="false">COUNTIF(Targets!$R$5:$R$19,A14)</f>
        <v>0</v>
      </c>
      <c r="C14" s="13"/>
    </row>
    <row r="15" customFormat="false" ht="15" hidden="false" customHeight="true" outlineLevel="0" collapsed="false">
      <c r="A15" s="12" t="s">
        <v>247</v>
      </c>
      <c r="B15" s="12" t="n">
        <f aca="false">COUNTIF(Targets!$R$5:$R$19,A15)</f>
        <v>0</v>
      </c>
      <c r="C15" s="13" t="s">
        <v>248</v>
      </c>
    </row>
    <row r="16" customFormat="false" ht="15" hidden="false" customHeight="true" outlineLevel="0" collapsed="false">
      <c r="A16" s="12" t="s">
        <v>249</v>
      </c>
      <c r="B16" s="12" t="n">
        <f aca="false">COUNTIF(Targets!$R$5:$R$19,A16)</f>
        <v>0</v>
      </c>
      <c r="C16" s="13"/>
    </row>
    <row r="17" customFormat="false" ht="15" hidden="false" customHeight="true" outlineLevel="0" collapsed="false">
      <c r="A17" s="12" t="s">
        <v>250</v>
      </c>
      <c r="B17" s="12" t="n">
        <f aca="false">COUNTIF(Targets!$R$5:$R$19,A17)</f>
        <v>0</v>
      </c>
      <c r="C17" s="13"/>
    </row>
    <row r="18" customFormat="false" ht="15" hidden="false" customHeight="true" outlineLevel="0" collapsed="false">
      <c r="A18" s="14" t="s">
        <v>251</v>
      </c>
      <c r="B18" s="14" t="n">
        <f aca="false">SUM(B5:B17)</f>
        <v>15</v>
      </c>
    </row>
    <row r="19" customFormat="false" ht="15" hidden="false" customHeight="true" outlineLevel="0" collapsed="false">
      <c r="A19" s="14" t="s">
        <v>252</v>
      </c>
      <c r="B19" s="14" t="n">
        <f aca="false">SUM(B12:B15)</f>
        <v>0</v>
      </c>
    </row>
    <row r="20" customFormat="false" ht="15" hidden="false" customHeight="true" outlineLevel="0" collapsed="false">
      <c r="A20" s="14" t="s">
        <v>253</v>
      </c>
      <c r="B20" s="15" t="n">
        <f aca="false">IFERROR(B19/SUM(B11:B15),0)</f>
        <v>0</v>
      </c>
    </row>
    <row r="22" customFormat="false" ht="15" hidden="false" customHeight="true" outlineLevel="0" collapsed="false">
      <c r="A22" s="11"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AEBB"/>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9.5" hidden="false" customHeight="true" outlineLevel="0" collapsed="false">
      <c r="A1" s="2" t="s">
        <v>255</v>
      </c>
    </row>
    <row r="2" customFormat="false" ht="15" hidden="false" customHeight="true" outlineLevel="0" collapsed="false">
      <c r="A2" s="3" t="s">
        <v>256</v>
      </c>
    </row>
    <row r="4" customFormat="false" ht="15" hidden="false" customHeight="true" outlineLevel="0" collapsed="false">
      <c r="A4" s="4" t="s">
        <v>257</v>
      </c>
    </row>
    <row r="5" customFormat="false" ht="202.5" hidden="false" customHeight="true" outlineLevel="0" collapsed="false">
      <c r="A5" s="5" t="s">
        <v>258</v>
      </c>
      <c r="B5" s="6" t="s">
        <v>259</v>
      </c>
    </row>
    <row r="6" customFormat="false" ht="147" hidden="false" customHeight="true" outlineLevel="0" collapsed="false">
      <c r="A6" s="5" t="s">
        <v>260</v>
      </c>
      <c r="B6" s="6" t="s">
        <v>261</v>
      </c>
    </row>
    <row r="7" customFormat="false" ht="90.75" hidden="false" customHeight="true" outlineLevel="0" collapsed="false">
      <c r="A7" s="5" t="s">
        <v>262</v>
      </c>
      <c r="B7" s="6" t="s">
        <v>263</v>
      </c>
    </row>
    <row r="8" customFormat="false" ht="124.5" hidden="false" customHeight="true" outlineLevel="0" collapsed="false">
      <c r="A8" s="5" t="s">
        <v>264</v>
      </c>
      <c r="B8" s="6" t="s">
        <v>265</v>
      </c>
    </row>
    <row r="9" customFormat="false" ht="23.25" hidden="false" customHeight="true" outlineLevel="0" collapsed="false">
      <c r="A9" s="5" t="s">
        <v>266</v>
      </c>
      <c r="B9" s="6" t="s">
        <v>267</v>
      </c>
    </row>
    <row r="10" customFormat="false" ht="23.25" hidden="false" customHeight="true" outlineLevel="0" collapsed="false">
      <c r="A10" s="5" t="s">
        <v>268</v>
      </c>
      <c r="B10" s="6" t="s">
        <v>269</v>
      </c>
    </row>
    <row r="11" customFormat="false" ht="23.25" hidden="false" customHeight="true" outlineLevel="0" collapsed="false">
      <c r="A11" s="5" t="s">
        <v>270</v>
      </c>
      <c r="B11" s="6" t="s">
        <v>271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AEBB"/>
    <pageSetUpPr fitToPage="false"/>
  </sheetPr>
  <dimension ref="A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9.5" hidden="false" customHeight="true" outlineLevel="0" collapsed="false">
      <c r="A1" s="2" t="s">
        <v>272</v>
      </c>
    </row>
    <row r="2" customFormat="false" ht="15" hidden="false" customHeight="true" outlineLevel="0" collapsed="false">
      <c r="A2" s="3" t="s">
        <v>273</v>
      </c>
    </row>
    <row r="4" customFormat="false" ht="15" hidden="false" customHeight="true" outlineLevel="0" collapsed="false">
      <c r="A4" s="4" t="s">
        <v>274</v>
      </c>
    </row>
    <row r="5" customFormat="false" ht="23.25" hidden="false" customHeight="true" outlineLevel="0" collapsed="false">
      <c r="A5" s="5" t="s">
        <v>41</v>
      </c>
      <c r="B5" s="6" t="s">
        <v>275</v>
      </c>
    </row>
    <row r="6" customFormat="false" ht="23.25" hidden="false" customHeight="true" outlineLevel="0" collapsed="false">
      <c r="A6" s="5" t="s">
        <v>276</v>
      </c>
      <c r="B6" s="6" t="s">
        <v>277</v>
      </c>
    </row>
    <row r="7" customFormat="false" ht="23.25" hidden="false" customHeight="true" outlineLevel="0" collapsed="false">
      <c r="A7" s="5" t="s">
        <v>278</v>
      </c>
      <c r="B7" s="6" t="s">
        <v>279</v>
      </c>
    </row>
    <row r="8" customFormat="false" ht="23.25" hidden="false" customHeight="true" outlineLevel="0" collapsed="false">
      <c r="A8" s="5" t="s">
        <v>280</v>
      </c>
      <c r="B8" s="6" t="s">
        <v>281</v>
      </c>
    </row>
    <row r="9" customFormat="false" ht="34.5" hidden="false" customHeight="true" outlineLevel="0" collapsed="false">
      <c r="A9" s="5" t="s">
        <v>282</v>
      </c>
      <c r="B9" s="6" t="s">
        <v>283</v>
      </c>
    </row>
    <row r="10" customFormat="false" ht="15" hidden="false" customHeight="true" outlineLevel="0" collapsed="false">
      <c r="A10" s="5" t="s">
        <v>284</v>
      </c>
      <c r="B10" s="6" t="s">
        <v>285</v>
      </c>
    </row>
    <row r="11" customFormat="false" ht="23.25" hidden="false" customHeight="true" outlineLevel="0" collapsed="false">
      <c r="A11" s="5" t="s">
        <v>286</v>
      </c>
      <c r="B11" s="6" t="s">
        <v>287</v>
      </c>
    </row>
    <row r="13" customFormat="false" ht="15" hidden="false" customHeight="true" outlineLevel="0" collapsed="false">
      <c r="A13" s="4" t="s">
        <v>288</v>
      </c>
    </row>
    <row r="14" customFormat="false" ht="23.25" hidden="false" customHeight="true" outlineLevel="0" collapsed="false">
      <c r="A14" s="5" t="s">
        <v>289</v>
      </c>
      <c r="B14" s="6" t="s">
        <v>290</v>
      </c>
    </row>
    <row r="15" customFormat="false" ht="23.25" hidden="false" customHeight="true" outlineLevel="0" collapsed="false">
      <c r="A15" s="5" t="s">
        <v>291</v>
      </c>
      <c r="B15" s="6" t="s">
        <v>292</v>
      </c>
    </row>
    <row r="16" customFormat="false" ht="23.25" hidden="false" customHeight="true" outlineLevel="0" collapsed="false">
      <c r="A16" s="5" t="s">
        <v>293</v>
      </c>
      <c r="B16" s="6" t="s">
        <v>294</v>
      </c>
    </row>
    <row r="17" customFormat="false" ht="15" hidden="false" customHeight="true" outlineLevel="0" collapsed="false">
      <c r="A17" s="5" t="s">
        <v>295</v>
      </c>
      <c r="B17" s="6" t="s">
        <v>296</v>
      </c>
    </row>
    <row r="18" customFormat="false" ht="23.25" hidden="false" customHeight="true" outlineLevel="0" collapsed="false">
      <c r="A18" s="5" t="s">
        <v>297</v>
      </c>
      <c r="B18" s="6" t="s">
        <v>298</v>
      </c>
    </row>
    <row r="19" customFormat="false" ht="23.25" hidden="false" customHeight="true" outlineLevel="0" collapsed="false">
      <c r="A19" s="5" t="s">
        <v>299</v>
      </c>
      <c r="B19" s="6" t="s">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AEBB"/>
    <pageSetUpPr fitToPage="false"/>
  </sheetPr>
  <dimension ref="A1:C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 collapsed="false" customWidth="true" hidden="false" outlineLevel="0" max="3" min="3" style="1" width="50"/>
  </cols>
  <sheetData>
    <row r="1" customFormat="false" ht="19.5" hidden="false" customHeight="true" outlineLevel="0" collapsed="false">
      <c r="A1" s="2" t="s">
        <v>301</v>
      </c>
    </row>
    <row r="2" customFormat="false" ht="15" hidden="false" customHeight="true" outlineLevel="0" collapsed="false">
      <c r="A2" s="3" t="s">
        <v>302</v>
      </c>
    </row>
    <row r="4" customFormat="false" ht="15" hidden="false" customHeight="true" outlineLevel="0" collapsed="false">
      <c r="A4" s="4" t="s">
        <v>303</v>
      </c>
    </row>
    <row r="5" customFormat="false" ht="23.25" hidden="false" customHeight="true" outlineLevel="0" collapsed="false">
      <c r="A5" s="5" t="s">
        <v>304</v>
      </c>
      <c r="B5" s="6" t="s">
        <v>305</v>
      </c>
    </row>
    <row r="6" customFormat="false" ht="23.25" hidden="false" customHeight="true" outlineLevel="0" collapsed="false">
      <c r="A6" s="5" t="s">
        <v>306</v>
      </c>
      <c r="B6" s="6" t="s">
        <v>307</v>
      </c>
    </row>
    <row r="7" customFormat="false" ht="23.25" hidden="false" customHeight="true" outlineLevel="0" collapsed="false">
      <c r="A7" s="5" t="s">
        <v>308</v>
      </c>
      <c r="B7" s="6" t="s">
        <v>309</v>
      </c>
    </row>
    <row r="8" customFormat="false" ht="23.25" hidden="false" customHeight="true" outlineLevel="0" collapsed="false">
      <c r="A8" s="5" t="s">
        <v>310</v>
      </c>
      <c r="B8" s="6" t="s">
        <v>311</v>
      </c>
    </row>
    <row r="9" customFormat="false" ht="23.25" hidden="false" customHeight="true" outlineLevel="0" collapsed="false">
      <c r="A9" s="5" t="s">
        <v>312</v>
      </c>
      <c r="B9" s="6" t="s">
        <v>313</v>
      </c>
    </row>
    <row r="10" customFormat="false" ht="23.25" hidden="false" customHeight="true" outlineLevel="0" collapsed="false">
      <c r="A10" s="5" t="s">
        <v>314</v>
      </c>
      <c r="B10" s="6" t="s">
        <v>315</v>
      </c>
    </row>
    <row r="12" customFormat="false" ht="31.5" hidden="false" customHeight="true" outlineLevel="0" collapsed="false">
      <c r="A12" s="7" t="s">
        <v>316</v>
      </c>
      <c r="B12" s="7" t="s">
        <v>317</v>
      </c>
      <c r="C12" s="7" t="s">
        <v>318</v>
      </c>
    </row>
    <row r="13" customFormat="false" ht="48" hidden="false" customHeight="true" outlineLevel="0" collapsed="false">
      <c r="A13" s="5" t="s">
        <v>319</v>
      </c>
      <c r="B13" s="6" t="s">
        <v>320</v>
      </c>
      <c r="C13" s="6" t="s">
        <v>321</v>
      </c>
    </row>
    <row r="14" customFormat="false" ht="48" hidden="false" customHeight="true" outlineLevel="0" collapsed="false">
      <c r="A14" s="5" t="s">
        <v>322</v>
      </c>
      <c r="B14" s="6" t="s">
        <v>323</v>
      </c>
      <c r="C14" s="6" t="s">
        <v>324</v>
      </c>
    </row>
    <row r="15" customFormat="false" ht="48" hidden="false" customHeight="true" outlineLevel="0" collapsed="false">
      <c r="A15" s="5" t="s">
        <v>325</v>
      </c>
      <c r="B15" s="6" t="s">
        <v>326</v>
      </c>
      <c r="C15" s="6" t="s">
        <v>327</v>
      </c>
    </row>
    <row r="16" customFormat="false" ht="48" hidden="false" customHeight="true" outlineLevel="0" collapsed="false">
      <c r="A16" s="5" t="s">
        <v>328</v>
      </c>
      <c r="B16" s="6" t="s">
        <v>329</v>
      </c>
      <c r="C16" s="6" t="s">
        <v>330</v>
      </c>
    </row>
    <row r="17" customFormat="false" ht="48" hidden="false" customHeight="true" outlineLevel="0" collapsed="false">
      <c r="A17" s="5" t="s">
        <v>331</v>
      </c>
      <c r="B17" s="6" t="s">
        <v>332</v>
      </c>
      <c r="C17" s="6" t="s">
        <v>333</v>
      </c>
    </row>
    <row r="18" customFormat="false" ht="48" hidden="false" customHeight="true" outlineLevel="0" collapsed="false">
      <c r="A18" s="5" t="s">
        <v>334</v>
      </c>
      <c r="B18" s="6" t="s">
        <v>335</v>
      </c>
      <c r="C18" s="6" t="s">
        <v>336</v>
      </c>
    </row>
    <row r="19" customFormat="false" ht="48" hidden="false" customHeight="true" outlineLevel="0" collapsed="false">
      <c r="A19" s="5" t="s">
        <v>337</v>
      </c>
      <c r="B19" s="6" t="s">
        <v>338</v>
      </c>
      <c r="C19" s="6" t="s">
        <v>339</v>
      </c>
    </row>
    <row r="21" customFormat="false" ht="15" hidden="false" customHeight="true" outlineLevel="0" collapsed="false">
      <c r="A21" s="4" t="s">
        <v>340</v>
      </c>
    </row>
    <row r="22" customFormat="false" ht="34.5" hidden="false" customHeight="true" outlineLevel="0" collapsed="false">
      <c r="A22" s="5" t="s">
        <v>341</v>
      </c>
      <c r="B22" s="6" t="s">
        <v>342</v>
      </c>
    </row>
    <row r="23" customFormat="false" ht="23.25" hidden="false" customHeight="true" outlineLevel="0" collapsed="false">
      <c r="A23" s="5" t="s">
        <v>343</v>
      </c>
      <c r="B23" s="6" t="s">
        <v>344</v>
      </c>
    </row>
    <row r="24" customFormat="false" ht="15" hidden="false" customHeight="true" outlineLevel="0" collapsed="false">
      <c r="A24" s="5" t="s">
        <v>340</v>
      </c>
      <c r="B24" s="6" t="s">
        <v>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2026-10-05T22:48:39Z</dcterms:created>
  <dc:creator>openpyxl</dc:creator>
  <dc:description/>
  <dc:language>en-US</dc:language>
  <cp:lastModifiedBy/>
  <dcterms:modified xsi:type="dcterms:W3CDTF">2026-10-06T10:04:33Z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