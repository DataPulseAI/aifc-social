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iness check" sheetId="1" state="visible" r:id="rId3"/>
    <sheet name="Compar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<sst xmlns="http://schemas.openxmlformats.org/spreadsheetml/2006/main" count="86" uniqueCount="70">
  <si>
    <t xml:space="preserve">The team AI readiness check</t>
  </si>
  <si>
    <t xml:space="preserve">Answer 0, 1 or 2 in the yellow cells for the team as it is today. Where two answers both seem true, take the lower. Self-check, not a benchmark. AIforCompanies, aiforcompanies.co.uk/resources. Not legal advice.</t>
  </si>
  <si>
    <t xml:space="preserve">Date</t>
  </si>
  <si>
    <t xml:space="preserve">#</t>
  </si>
  <si>
    <t xml:space="preserve">Question</t>
  </si>
  <si>
    <t xml:space="preserve">0 means</t>
  </si>
  <si>
    <t xml:space="preserve">1 means</t>
  </si>
  <si>
    <t xml:space="preserve">2 means</t>
  </si>
  <si>
    <t xml:space="preserve">Your score</t>
  </si>
  <si>
    <t xml:space="preserve">Can anyone name the tools the team is licensed for?</t>
  </si>
  <si>
    <t xml:space="preserve">Nobody could say without looking</t>
  </si>
  <si>
    <t xml:space="preserve">One or two people could</t>
  </si>
  <si>
    <t xml:space="preserve">It is written down and current</t>
  </si>
  <si>
    <t xml:space="preserve">Do you know how many of those seats were opened last month?</t>
  </si>
  <si>
    <t xml:space="preserve">No idea</t>
  </si>
  <si>
    <t xml:space="preserve">A rough sense</t>
  </si>
  <si>
    <t xml:space="preserve">We pull the report monthly</t>
  </si>
  <si>
    <t xml:space="preserve">Has each person named three weekly tasks they would use the assistant for?</t>
  </si>
  <si>
    <t xml:space="preserve">Nobody has</t>
  </si>
  <si>
    <t xml:space="preserve">Some people have, informally</t>
  </si>
  <si>
    <t xml:space="preserve">Everyone has, and they are written down</t>
  </si>
  <si>
    <t xml:space="preserve">Are the prompts that work kept anywhere the team can find them?</t>
  </si>
  <si>
    <t xml:space="preserve">In people's heads</t>
  </si>
  <si>
    <t xml:space="preserve">In personal notes</t>
  </si>
  <si>
    <t xml:space="preserve">In one shared place, titled by the job</t>
  </si>
  <si>
    <t xml:space="preserve">Is there a one-page rule on what may and may not be attached?</t>
  </si>
  <si>
    <t xml:space="preserve">No</t>
  </si>
  <si>
    <t xml:space="preserve">A long policy nobody has read</t>
  </si>
  <si>
    <t xml:space="preserve">One page everyone has seen</t>
  </si>
  <si>
    <t xml:space="preserve">Does someone own AI use for the team, by name?</t>
  </si>
  <si>
    <t xml:space="preserve">Nobody</t>
  </si>
  <si>
    <t xml:space="preserve">It is assumed to be IT</t>
  </si>
  <si>
    <t xml:space="preserve">One named person, and the team knows who</t>
  </si>
  <si>
    <t xml:space="preserve">Has the team done one real task together with the assistant?</t>
  </si>
  <si>
    <t xml:space="preserve">Only demos</t>
  </si>
  <si>
    <t xml:space="preserve">One or two people have tried</t>
  </si>
  <si>
    <t xml:space="preserve">Yes, on our own files, together</t>
  </si>
  <si>
    <t xml:space="preserve">Do people know what to do when the output is wrong?</t>
  </si>
  <si>
    <t xml:space="preserve">They stop using it</t>
  </si>
  <si>
    <t xml:space="preserve">They start again from scratch</t>
  </si>
  <si>
    <t xml:space="preserve">They say one sentence back and check the source</t>
  </si>
  <si>
    <t xml:space="preserve">Is there a review point in the calendar?</t>
  </si>
  <si>
    <t xml:space="preserve">We meant to</t>
  </si>
  <si>
    <t xml:space="preserve">A date is set and someone owns it</t>
  </si>
  <si>
    <t xml:space="preserve">Do the tools people actually use match the ones you pay for?</t>
  </si>
  <si>
    <t xml:space="preserve">We do not know</t>
  </si>
  <si>
    <t xml:space="preserve">Partly</t>
  </si>
  <si>
    <t xml:space="preserve">Yes, and the unused seats are being dealt with</t>
  </si>
  <si>
    <t xml:space="preserve">Total</t>
  </si>
  <si>
    <t xml:space="preserve">Band</t>
  </si>
  <si>
    <t xml:space="preserve">First move</t>
  </si>
  <si>
    <t xml:space="preserve">Bands</t>
  </si>
  <si>
    <t xml:space="preserve">First move this week</t>
  </si>
  <si>
    <t xml:space="preserve">From</t>
  </si>
  <si>
    <t xml:space="preserve">To</t>
  </si>
  <si>
    <t xml:space="preserve">Licensed</t>
  </si>
  <si>
    <t xml:space="preserve">Pick one task, one person, one hour. Sit them beside someone who has done it with the assistant, on the real file, and write down the prompt that worked in a shared note.</t>
  </si>
  <si>
    <t xml:space="preserve">Started</t>
  </si>
  <si>
    <t xml:space="preserve">Write the one page on what may and may not be attached, and name the person who owns AI use for the team. Tell the team it is them.</t>
  </si>
  <si>
    <t xml:space="preserve">In use</t>
  </si>
  <si>
    <t xml:space="preserve">Pull the usage report for every tool, report seats opened in 28 days over seats paid, monthly. Put the next run of this check in the calendar for one month from today.</t>
  </si>
  <si>
    <t xml:space="preserve">Example (not data): a team answering 1,0,1,0,0,1,0,1,0,1 scores 5, band Licensed.</t>
  </si>
  <si>
    <t xml:space="preserve">Three people answer independently</t>
  </si>
  <si>
    <t xml:space="preserve">Do not show anyone the others' answers. The spread column is the gap between the highest and lowest answer on each question; a 2 is the finding.</t>
  </si>
  <si>
    <t xml:space="preserve">Person 1</t>
  </si>
  <si>
    <t xml:space="preserve">Person 2</t>
  </si>
  <si>
    <t xml:space="preserve">Person 3</t>
  </si>
  <si>
    <t xml:space="preserve">Spread (max less min)</t>
  </si>
  <si>
    <t xml:space="preserve">Questions with a spread of 2</t>
  </si>
  <si>
    <t xml:space="preserve">Example (not data): answers 2, 0, 1 on one question give a spread of 2, which means the team does not agree on whether the thing exists.</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</si>
</sst>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7211C"/>
      <name val="Arial"/>
      <family val="0"/>
      <charset val="1"/>
    </font>
    <font>
      <sz val="9"/>
      <color rgb="FF6B756F"/>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0"/>
      <name val="Arial"/>
      <family val="0"/>
      <charset val="1"/>
    </font>
    <font>
      <b val="true"/>
      <sz val="12"/>
      <name val="Arial"/>
      <family val="0"/>
      <charset val="1"/>
    </font>
    <font>
      <b val="true"/>
      <sz val="12"/>
      <color rgb="FF1F5A3E"/>
      <name val="Arial"/>
      <family val="0"/>
      <charset val="1"/>
    </font>
    <font>
      <b val="true"/>
      <sz val="10"/>
      <color rgb="FF1F5A3E"/>
      <name val="Arial"/>
      <family val="0"/>
      <charset val="1"/>
    </font>
  </fonts>
  <fills count="4">
    <fill>
      <patternFill patternType="none"/>
    </fill>
    <fill>
      <patternFill patternType="gray125"/>
    </fill>
    <fill>
      <patternFill patternType="solid">
        <fgColor rgb="FFFFF2CC"/>
        <bgColor rgb="FFFFFFFF"/>
      </patternFill>
    </fill>
    <fill>
      <patternFill patternType="solid">
        <fgColor rgb="FF1F5A3E"/>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B756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7211C"/>
      <rgbColor rgb="FF333300"/>
      <rgbColor rgb="FF993300"/>
      <rgbColor rgb="FF993366"/>
      <rgbColor rgb="FF333399"/>
      <rgbColor rgb="FF1F5A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8"/>
    <col collapsed="false" customWidth="true" hidden="false" outlineLevel="0" max="4" min="3" style="0" width="30"/>
    <col collapsed="false" customWidth="true" hidden="false" outlineLevel="0" max="5" min="5" style="0" width="34"/>
    <col collapsed="false" customWidth="true" hidden="false" outlineLevel="0" max="6" min="6" style="0" width="16"/>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c r="B3" s="4"/>
    </row>
    <row r="5" customFormat="false" ht="15" hidden="false" customHeight="false" outlineLevel="0" collapsed="false">
      <c r="A5" s="5" t="s">
        <v>3</v>
      </c>
      <c r="B5" s="5" t="s">
        <v>4</v>
      </c>
      <c r="C5" s="5" t="s">
        <v>5</v>
      </c>
      <c r="D5" s="5" t="s">
        <v>6</v>
      </c>
      <c r="E5" s="5" t="s">
        <v>7</v>
      </c>
      <c r="F5" s="5" t="s">
        <v>8</v>
      </c>
    </row>
    <row r="6" customFormat="false" ht="30" hidden="false" customHeight="true" outlineLevel="0" collapsed="false">
      <c r="A6" s="6" t="n">
        <v>1</v>
      </c>
      <c r="B6" s="6" t="s">
        <v>9</v>
      </c>
      <c r="C6" s="6" t="s">
        <v>10</v>
      </c>
      <c r="D6" s="6" t="s">
        <v>11</v>
      </c>
      <c r="E6" s="6" t="s">
        <v>12</v>
      </c>
      <c r="F6" s="7"/>
    </row>
    <row r="7" customFormat="false" ht="30" hidden="false" customHeight="true" outlineLevel="0" collapsed="false">
      <c r="A7" s="6" t="n">
        <v>2</v>
      </c>
      <c r="B7" s="6" t="s">
        <v>13</v>
      </c>
      <c r="C7" s="6" t="s">
        <v>14</v>
      </c>
      <c r="D7" s="6" t="s">
        <v>15</v>
      </c>
      <c r="E7" s="6" t="s">
        <v>16</v>
      </c>
      <c r="F7" s="7"/>
    </row>
    <row r="8" customFormat="false" ht="30" hidden="false" customHeight="true" outlineLevel="0" collapsed="false">
      <c r="A8" s="6" t="n">
        <v>3</v>
      </c>
      <c r="B8" s="6" t="s">
        <v>17</v>
      </c>
      <c r="C8" s="6" t="s">
        <v>18</v>
      </c>
      <c r="D8" s="6" t="s">
        <v>19</v>
      </c>
      <c r="E8" s="6" t="s">
        <v>20</v>
      </c>
      <c r="F8" s="7"/>
    </row>
    <row r="9" customFormat="false" ht="30" hidden="false" customHeight="true" outlineLevel="0" collapsed="false">
      <c r="A9" s="6" t="n">
        <v>4</v>
      </c>
      <c r="B9" s="6" t="s">
        <v>21</v>
      </c>
      <c r="C9" s="6" t="s">
        <v>22</v>
      </c>
      <c r="D9" s="6" t="s">
        <v>23</v>
      </c>
      <c r="E9" s="6" t="s">
        <v>24</v>
      </c>
      <c r="F9" s="7"/>
    </row>
    <row r="10" customFormat="false" ht="30" hidden="false" customHeight="true" outlineLevel="0" collapsed="false">
      <c r="A10" s="6" t="n">
        <v>5</v>
      </c>
      <c r="B10" s="6" t="s">
        <v>25</v>
      </c>
      <c r="C10" s="6" t="s">
        <v>26</v>
      </c>
      <c r="D10" s="6" t="s">
        <v>27</v>
      </c>
      <c r="E10" s="6" t="s">
        <v>28</v>
      </c>
      <c r="F10" s="7"/>
    </row>
    <row r="11" customFormat="false" ht="30" hidden="false" customHeight="true" outlineLevel="0" collapsed="false">
      <c r="A11" s="6" t="n">
        <v>6</v>
      </c>
      <c r="B11" s="6" t="s">
        <v>29</v>
      </c>
      <c r="C11" s="6" t="s">
        <v>30</v>
      </c>
      <c r="D11" s="6" t="s">
        <v>31</v>
      </c>
      <c r="E11" s="6" t="s">
        <v>32</v>
      </c>
      <c r="F11" s="7"/>
    </row>
    <row r="12" customFormat="false" ht="30" hidden="false" customHeight="true" outlineLevel="0" collapsed="false">
      <c r="A12" s="6" t="n">
        <v>7</v>
      </c>
      <c r="B12" s="6" t="s">
        <v>33</v>
      </c>
      <c r="C12" s="6" t="s">
        <v>34</v>
      </c>
      <c r="D12" s="6" t="s">
        <v>35</v>
      </c>
      <c r="E12" s="6" t="s">
        <v>36</v>
      </c>
      <c r="F12" s="7"/>
    </row>
    <row r="13" customFormat="false" ht="30" hidden="false" customHeight="true" outlineLevel="0" collapsed="false">
      <c r="A13" s="6" t="n">
        <v>8</v>
      </c>
      <c r="B13" s="6" t="s">
        <v>37</v>
      </c>
      <c r="C13" s="6" t="s">
        <v>38</v>
      </c>
      <c r="D13" s="6" t="s">
        <v>39</v>
      </c>
      <c r="E13" s="6" t="s">
        <v>40</v>
      </c>
      <c r="F13" s="7"/>
    </row>
    <row r="14" customFormat="false" ht="30" hidden="false" customHeight="true" outlineLevel="0" collapsed="false">
      <c r="A14" s="6" t="n">
        <v>9</v>
      </c>
      <c r="B14" s="6" t="s">
        <v>41</v>
      </c>
      <c r="C14" s="6" t="s">
        <v>26</v>
      </c>
      <c r="D14" s="6" t="s">
        <v>42</v>
      </c>
      <c r="E14" s="6" t="s">
        <v>43</v>
      </c>
      <c r="F14" s="7"/>
    </row>
    <row r="15" customFormat="false" ht="30" hidden="false" customHeight="true" outlineLevel="0" collapsed="false">
      <c r="A15" s="6" t="n">
        <v>10</v>
      </c>
      <c r="B15" s="6" t="s">
        <v>44</v>
      </c>
      <c r="C15" s="6" t="s">
        <v>45</v>
      </c>
      <c r="D15" s="6" t="s">
        <v>46</v>
      </c>
      <c r="E15" s="6" t="s">
        <v>47</v>
      </c>
      <c r="F15" s="7"/>
    </row>
    <row r="17" customFormat="false" ht="15" hidden="false" customHeight="false" outlineLevel="0" collapsed="false">
      <c r="E17" s="8" t="s">
        <v>48</v>
      </c>
      <c r="F17" s="9" t="n">
        <f aca="false">SUM(F6:F15)</f>
        <v>0</v>
      </c>
    </row>
    <row r="18" customFormat="false" ht="15" hidden="false" customHeight="false" outlineLevel="0" collapsed="false">
      <c r="E18" s="8" t="s">
        <v>49</v>
      </c>
      <c r="F18" s="10" t="str">
        <f aca="false">IF(COUNT(F6:F15)&lt;10,"Answer all ten",IF(F17&lt;=7,"Licensed",IF(F17&lt;=14,"Started","In use")))</f>
        <v>Answer all ten</v>
      </c>
    </row>
    <row r="19" customFormat="false" ht="60" hidden="false" customHeight="true" outlineLevel="0" collapsed="false">
      <c r="E19" s="8" t="s">
        <v>50</v>
      </c>
      <c r="F19" s="6" t="str">
        <f aca="false">IFERROR(INDEX($B$23:$B$25,MATCH(F18,$A$23:$A$25,0)),"")</f>
        <v/>
      </c>
    </row>
    <row r="21" customFormat="false" ht="15" hidden="false" customHeight="false" outlineLevel="0" collapsed="false">
      <c r="A21" s="8" t="s">
        <v>51</v>
      </c>
    </row>
    <row r="22" customFormat="false" ht="15" hidden="false" customHeight="false" outlineLevel="0" collapsed="false">
      <c r="A22" s="5" t="s">
        <v>49</v>
      </c>
      <c r="B22" s="5" t="s">
        <v>52</v>
      </c>
      <c r="C22" s="5" t="s">
        <v>53</v>
      </c>
      <c r="D22" s="5" t="s">
        <v>54</v>
      </c>
    </row>
    <row r="23" customFormat="false" ht="43.5" hidden="false" customHeight="true" outlineLevel="0" collapsed="false">
      <c r="A23" s="6" t="s">
        <v>55</v>
      </c>
      <c r="B23" s="6" t="s">
        <v>56</v>
      </c>
      <c r="C23" s="6" t="n">
        <v>0</v>
      </c>
      <c r="D23" s="6" t="n">
        <v>7</v>
      </c>
    </row>
    <row r="24" customFormat="false" ht="43.5" hidden="false" customHeight="true" outlineLevel="0" collapsed="false">
      <c r="A24" s="6" t="s">
        <v>57</v>
      </c>
      <c r="B24" s="6" t="s">
        <v>58</v>
      </c>
      <c r="C24" s="6" t="n">
        <v>8</v>
      </c>
      <c r="D24" s="6" t="n">
        <v>14</v>
      </c>
    </row>
    <row r="25" customFormat="false" ht="43.5" hidden="false" customHeight="true" outlineLevel="0" collapsed="false">
      <c r="A25" s="6" t="s">
        <v>59</v>
      </c>
      <c r="B25" s="6" t="s">
        <v>60</v>
      </c>
      <c r="C25" s="6" t="n">
        <v>15</v>
      </c>
      <c r="D25" s="6" t="n">
        <v>20</v>
      </c>
    </row>
    <row r="27" customFormat="false" ht="15" hidden="false" customHeight="false" outlineLevel="0" collapsed="false">
      <c r="A27" s="2" t="s">
        <v>61</v>
      </c>
    </row>
  </sheetData>
  <dataValidations count="1">
    <dataValidation allowBlank="true" errorStyle="stop" operator="between" showDropDown="false" showErrorMessage="false" showInputMessage="false" sqref="F6:F15" type="list">
      <formula1>"0,1,2"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8"/>
    <col collapsed="false" customWidth="true" hidden="false" outlineLevel="0" max="5" min="3" style="0" width="12"/>
    <col collapsed="false" customWidth="true" hidden="false" outlineLevel="0" max="6" min="6" style="0" width="20"/>
  </cols>
  <sheetData>
    <row r="1" customFormat="false" ht="17.35" hidden="false" customHeight="false" outlineLevel="0" collapsed="false">
      <c r="A1" s="1" t="s">
        <v>62</v>
      </c>
    </row>
    <row r="2" customFormat="false" ht="15" hidden="false" customHeight="false" outlineLevel="0" collapsed="false">
      <c r="A2" s="2" t="s">
        <v>63</v>
      </c>
    </row>
    <row r="4" customFormat="false" ht="15" hidden="false" customHeight="false" outlineLevel="0" collapsed="false">
      <c r="A4" s="5" t="s">
        <v>3</v>
      </c>
      <c r="B4" s="5" t="s">
        <v>4</v>
      </c>
      <c r="C4" s="5" t="s">
        <v>64</v>
      </c>
      <c r="D4" s="5" t="s">
        <v>65</v>
      </c>
      <c r="E4" s="5" t="s">
        <v>66</v>
      </c>
      <c r="F4" s="5" t="s">
        <v>67</v>
      </c>
    </row>
    <row r="5" customFormat="false" ht="15" hidden="false" customHeight="false" outlineLevel="0" collapsed="false">
      <c r="A5" s="6" t="n">
        <v>1</v>
      </c>
      <c r="B5" s="6" t="s">
        <v>9</v>
      </c>
      <c r="C5" s="11"/>
      <c r="D5" s="11"/>
      <c r="E5" s="11"/>
      <c r="F5" s="6" t="str">
        <f aca="false">IF(COUNT(C5:E5)&lt;2,"",MAX(C5:E5)-MIN(C5:E5))</f>
        <v/>
      </c>
    </row>
    <row r="6" customFormat="false" ht="15" hidden="false" customHeight="false" outlineLevel="0" collapsed="false">
      <c r="A6" s="6" t="n">
        <v>2</v>
      </c>
      <c r="B6" s="6" t="s">
        <v>13</v>
      </c>
      <c r="C6" s="11"/>
      <c r="D6" s="11"/>
      <c r="E6" s="11"/>
      <c r="F6" s="6" t="str">
        <f aca="false">IF(COUNT(C6:E6)&lt;2,"",MAX(C6:E6)-MIN(C6:E6))</f>
        <v/>
      </c>
    </row>
    <row r="7" customFormat="false" ht="23.85" hidden="false" customHeight="false" outlineLevel="0" collapsed="false">
      <c r="A7" s="6" t="n">
        <v>3</v>
      </c>
      <c r="B7" s="6" t="s">
        <v>17</v>
      </c>
      <c r="C7" s="11"/>
      <c r="D7" s="11"/>
      <c r="E7" s="11"/>
      <c r="F7" s="6" t="str">
        <f aca="false">IF(COUNT(C7:E7)&lt;2,"",MAX(C7:E7)-MIN(C7:E7))</f>
        <v/>
      </c>
    </row>
    <row r="8" customFormat="false" ht="15" hidden="false" customHeight="false" outlineLevel="0" collapsed="false">
      <c r="A8" s="6" t="n">
        <v>4</v>
      </c>
      <c r="B8" s="6" t="s">
        <v>21</v>
      </c>
      <c r="C8" s="11"/>
      <c r="D8" s="11"/>
      <c r="E8" s="11"/>
      <c r="F8" s="6" t="str">
        <f aca="false">IF(COUNT(C8:E8)&lt;2,"",MAX(C8:E8)-MIN(C8:E8))</f>
        <v/>
      </c>
    </row>
    <row r="9" customFormat="false" ht="15" hidden="false" customHeight="false" outlineLevel="0" collapsed="false">
      <c r="A9" s="6" t="n">
        <v>5</v>
      </c>
      <c r="B9" s="6" t="s">
        <v>25</v>
      </c>
      <c r="C9" s="11"/>
      <c r="D9" s="11"/>
      <c r="E9" s="11"/>
      <c r="F9" s="6" t="str">
        <f aca="false">IF(COUNT(C9:E9)&lt;2,"",MAX(C9:E9)-MIN(C9:E9))</f>
        <v/>
      </c>
    </row>
    <row r="10" customFormat="false" ht="15" hidden="false" customHeight="false" outlineLevel="0" collapsed="false">
      <c r="A10" s="6" t="n">
        <v>6</v>
      </c>
      <c r="B10" s="6" t="s">
        <v>29</v>
      </c>
      <c r="C10" s="11"/>
      <c r="D10" s="11"/>
      <c r="E10" s="11"/>
      <c r="F10" s="6" t="str">
        <f aca="false">IF(COUNT(C10:E10)&lt;2,"",MAX(C10:E10)-MIN(C10:E10))</f>
        <v/>
      </c>
    </row>
    <row r="11" customFormat="false" ht="15" hidden="false" customHeight="false" outlineLevel="0" collapsed="false">
      <c r="A11" s="6" t="n">
        <v>7</v>
      </c>
      <c r="B11" s="6" t="s">
        <v>33</v>
      </c>
      <c r="C11" s="11"/>
      <c r="D11" s="11"/>
      <c r="E11" s="11"/>
      <c r="F11" s="6" t="str">
        <f aca="false">IF(COUNT(C11:E11)&lt;2,"",MAX(C11:E11)-MIN(C11:E11))</f>
        <v/>
      </c>
    </row>
    <row r="12" customFormat="false" ht="15" hidden="false" customHeight="false" outlineLevel="0" collapsed="false">
      <c r="A12" s="6" t="n">
        <v>8</v>
      </c>
      <c r="B12" s="6" t="s">
        <v>37</v>
      </c>
      <c r="C12" s="11"/>
      <c r="D12" s="11"/>
      <c r="E12" s="11"/>
      <c r="F12" s="6" t="str">
        <f aca="false">IF(COUNT(C12:E12)&lt;2,"",MAX(C12:E12)-MIN(C12:E12))</f>
        <v/>
      </c>
    </row>
    <row r="13" customFormat="false" ht="15" hidden="false" customHeight="false" outlineLevel="0" collapsed="false">
      <c r="A13" s="6" t="n">
        <v>9</v>
      </c>
      <c r="B13" s="6" t="s">
        <v>41</v>
      </c>
      <c r="C13" s="11"/>
      <c r="D13" s="11"/>
      <c r="E13" s="11"/>
      <c r="F13" s="6" t="str">
        <f aca="false">IF(COUNT(C13:E13)&lt;2,"",MAX(C13:E13)-MIN(C13:E13))</f>
        <v/>
      </c>
    </row>
    <row r="14" customFormat="false" ht="15" hidden="false" customHeight="false" outlineLevel="0" collapsed="false">
      <c r="A14" s="6" t="n">
        <v>10</v>
      </c>
      <c r="B14" s="6" t="s">
        <v>44</v>
      </c>
      <c r="C14" s="11"/>
      <c r="D14" s="11"/>
      <c r="E14" s="11"/>
      <c r="F14" s="6" t="str">
        <f aca="false">IF(COUNT(C14:E14)&lt;2,"",MAX(C14:E14)-MIN(C14:E14))</f>
        <v/>
      </c>
    </row>
    <row r="15" customFormat="false" ht="15" hidden="false" customHeight="false" outlineLevel="0" collapsed="false">
      <c r="B15" s="8" t="s">
        <v>48</v>
      </c>
      <c r="C15" s="8" t="n">
        <f aca="false">SUM(C5:C14)</f>
        <v>0</v>
      </c>
      <c r="D15" s="8" t="n">
        <f aca="false">SUM(D5:D14)</f>
        <v>0</v>
      </c>
      <c r="E15" s="8" t="n">
        <f aca="false">SUM(E5:E14)</f>
        <v>0</v>
      </c>
    </row>
    <row r="16" customFormat="false" ht="15" hidden="false" customHeight="false" outlineLevel="0" collapsed="false">
      <c r="B16" s="8" t="s">
        <v>49</v>
      </c>
      <c r="C16" s="12" t="str">
        <f aca="false">IF(COUNT(C5:C14)&lt;10,"",IF(C15&lt;=7,"Licensed",IF(C15&lt;=14,"Started","In use")))</f>
        <v/>
      </c>
      <c r="D16" s="12" t="str">
        <f aca="false">IF(COUNT(D5:D14)&lt;10,"",IF(D15&lt;=7,"Licensed",IF(D15&lt;=14,"Started","In use")))</f>
        <v/>
      </c>
      <c r="E16" s="12" t="str">
        <f aca="false">IF(COUNT(E5:E14)&lt;10,"",IF(E15&lt;=7,"Licensed",IF(E15&lt;=14,"Started","In use")))</f>
        <v/>
      </c>
    </row>
    <row r="17" customFormat="false" ht="15" hidden="false" customHeight="false" outlineLevel="0" collapsed="false">
      <c r="B17" s="8" t="s">
        <v>68</v>
      </c>
      <c r="F17" s="9" t="n">
        <f aca="false">COUNTIF(F5:F14,2)</f>
        <v>0</v>
      </c>
    </row>
    <row r="19" customFormat="false" ht="15" hidden="false" customHeight="false" outlineLevel="0" collapsed="false">
      <c r="A19" s="2" t="s">
        <v>69</v>
      </c>
    </row>
  </sheetData>
  <dataValidations count="1">
    <dataValidation allowBlank="true" errorStyle="stop" operator="between" showDropDown="false" showErrorMessage="false" showInputMessage="false" sqref="C5:E14" type="list">
      <formula1>"0,1,2"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2026-09-24T08:30:17Z</dcterms:created>
  <dc:creator>openpyxl</dc:creator>
  <dc:description/>
  <dc:language>en-US</dc:language>
  <cp:lastModifiedBy/>
  <dcterms:modified xsi:type="dcterms:W3CDTF">2026-09-24T08:30:17Z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