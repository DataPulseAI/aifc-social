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inciples" sheetId="2" state="visible" r:id="rId4"/>
    <sheet name="Funnel" sheetId="3" state="visible" r:id="rId5"/>
    <sheet name="Plan" sheetId="4" state="visible" r:id="rId6"/>
    <sheet name="Held posts" sheetId="5" state="visible" r:id="rId7"/>
    <sheet name="Reference library" sheetId="6" state="visible" r:id="rId8"/>
    <sheet name="Measures" sheetId="7" state="visible" r:id="rId9"/>
  </sheets>
  <definedNames>
    <definedName function="false" hidden="true" localSheetId="3" name="_xlnm._FilterDatabase" vbProcedure="false">Plan!$A$3:$Q$39</definedName>
    <definedName function="false" hidden="true" localSheetId="5" name="_xlnm._FilterDatabase" vbProcedure="false">'Reference library'!$A$3:$J$59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<sst xmlns="http://schemas.openxmlformats.org/spreadsheetml/2006/main" count="996" uniqueCount="601">
  <si>
    <t xml:space="preserve">AIforCompanies content plan, 29 September to 23 October 2026</t>
  </si>
  <si>
    <t xml:space="preserve">Built 23 September 2026 from SYSTEM.md, the creator library in references/ and the verified claims in references/claims.md. Viren edits the yellow cells.</t>
  </si>
  <si>
    <t xml:space="preserve">What this is</t>
  </si>
  <si>
    <t xml:space="preserve">Four weeks of posts for Viren's profile (the front door) and the AIforCompanies page (the shopfront), each post tagged with its job: Educate, Storytell or Sell. Every post is complete for a reader who never clicks. Only the Sell post carries a link.</t>
  </si>
  <si>
    <t xml:space="preserve">The three jobs</t>
  </si>
  <si>
    <t xml:space="preserve">Educate: the reader can use it on Monday (the reference, the show-how). Storytell: a real room, a real line, a position Viren will defend (the person, the proof). Sell: the whole method in the post, the working document behind a work email (the resource), one post a fortnight, the only link.</t>
  </si>
  <si>
    <t xml:space="preserve">Cadence</t>
  </si>
  <si>
    <t xml:space="preserve">Profile: three a week, Tuesday to Thursday, 07:45 UK, every post in the Buffer approval queue. Page: at most one a weekday, 08:15 UK, automatic. Convu: one Saturday post at most, optional. Never at the weekend on the AIforCompanies track.</t>
  </si>
  <si>
    <t xml:space="preserve">What was removed</t>
  </si>
  <si>
    <t xml:space="preserve">On 23 September the twelve profile posts scheduled at Buffer's random slots (13:30 to 21:40, automatic) were deleted from Buffer. Their copy is unchanged in viren/posts/week-01 to week-03 and is re-slotted here. See the Held posts tab.</t>
  </si>
  <si>
    <t xml:space="preserve">How to use it</t>
  </si>
  <si>
    <t xml:space="preserve">1. Read the Plan tab. 2. Change a hook or bin a row by setting Status. 3. Fill "Viren supplies" where the cell is yellow. 4. The Sunday batch drafts from this sheet into the approval queue. 5. Fill the Measures tab every Monday.</t>
  </si>
  <si>
    <t xml:space="preserve">Status values</t>
  </si>
  <si>
    <t xml:space="preserve">planned, drafted, approved, scheduled, published, held, binned</t>
  </si>
  <si>
    <t xml:space="preserve">Rules that do not move</t>
  </si>
  <si>
    <t xml:space="preserve">No em dashes, no exclamation marks, no emoji, no hashtags, no question close, no "Most people", no comment-to-get-the-resource, every number with a source and date, nothing invented, no client or result until real.</t>
  </si>
  <si>
    <t xml:space="preserve">The click rules (Viren, 23 Sep 2026)</t>
  </si>
  <si>
    <t xml:space="preserve">Each post fulfils its purpose on its own; a CTA is an extension or an addition, never the point. A click has to come from scarcity, desire or need, not from listing prompt examples and pointing at a page. Traffic to the site for its own sake is not worth a post. A post whose intention is save or share must be independently useful with nothing clicked.</t>
  </si>
  <si>
    <t xml:space="preserve">Legend</t>
  </si>
  <si>
    <t xml:space="preserve">Yellow cells: Viren fills or decides. Green header rows: fixed. Tinted rows in Plan: Sell posts.</t>
  </si>
  <si>
    <t xml:space="preserve">Educate, Storytell, Sell: what each job is, and where the evidence comes from</t>
  </si>
  <si>
    <t xml:space="preserve">Job</t>
  </si>
  <si>
    <t xml:space="preserve">Archetype</t>
  </si>
  <si>
    <t xml:space="preserve">Share of a fortnight (profile)</t>
  </si>
  <si>
    <t xml:space="preserve">What it must do</t>
  </si>
  <si>
    <t xml:space="preserve">Learned from (creator, post, engagement)</t>
  </si>
  <si>
    <t xml:space="preserve">Saved reference image</t>
  </si>
  <si>
    <t xml:space="preserve">Our renderer</t>
  </si>
  <si>
    <t xml:space="preserve">Fails when</t>
  </si>
  <si>
    <t xml:space="preserve">Educate</t>
  </si>
  <si>
    <t xml:space="preserve">The reference: one subject covered completely on one saveable artefact (grid, numbered list with the exact words, comparison sheet, 8 to 10 slide document)</t>
  </si>
  <si>
    <t xml:space="preserve">2 of 6</t>
  </si>
  <si>
    <t xml:space="preserve">The reader keeps it and forwards it to a colleague. Reposts are the only way to reach people who do not follow us.</t>
  </si>
  <si>
    <t xml:space="preserve">Hassid, "Almost nobody knows Claude has secret codes", 2,161 reactions, 269 reposts. Hills, "You installed Claude Code and stopped there", 1,563 reactions, 215 reposts. Vanourek numbered action-line card, 482 reactions, 178 comments (scoring.md).</t>
  </si>
  <si>
    <t xml:space="preserve">references/winners/img/hassid-almost-nobody-knows-claude-has-secret-co-2161rx-269rp.jpg; hills-you-installed-claude-code-and-stopped-th-1563rx-215rp.jpg</t>
  </si>
  <si>
    <t xml:space="preserve">viren/grid.mjs, viren/list.mjs, viren/versus.mjs, viren/carousel.mjs</t>
  </si>
  <si>
    <t xml:space="preserve">The topic is not exhaustible so it pads, or an item gives advice instead of the words.</t>
  </si>
  <si>
    <t xml:space="preserve">The show-how: one task the reader already does weekly, the prompt in full, what to attach, what good looks like, what goes wrong first time</t>
  </si>
  <si>
    <t xml:space="preserve">The reader runs it on Monday with the assistant they already pay for.</t>
  </si>
  <si>
    <t xml:space="preserve">Hassid, "Stop writing prompts from scratch like it's 2025", 1,654 reactions, 148 reposts. Hassid, "You can't keep up with AI. Me neither", 1,316 reactions (pick one tool, one weekly task, define good).</t>
  </si>
  <si>
    <t xml:space="preserve">hassid-stop-writing-prompts-from-scratch-like-i-1654rx-148rp.jpg</t>
  </si>
  <si>
    <t xml:space="preserve">viren/render.mjs prompt; annotated teardown (backlog)</t>
  </si>
  <si>
    <t xml:space="preserve">The prompt is shortened to fit, or it needs a tool the reader does not have.</t>
  </si>
  <si>
    <t xml:space="preserve">Storytell</t>
  </si>
  <si>
    <t xml:space="preserve">The person: a real room, a real line, a position he will defend; a photograph of Viren or a room he was in, or the voice card</t>
  </si>
  <si>
    <t xml:space="preserve">1 of 6, more when a real photograph exists</t>
  </si>
  <si>
    <t xml:space="preserve">The reason the buyer follows a person and not a page. Viren's own best multiple is a real room and a quoted line (Convo #01, 6.8x his median).</t>
  </si>
  <si>
    <t xml:space="preserve">Lara Acosta, "This place saved me", 2,557 reactions (a place and a feeling). Donnelly, "You've been lied to about your success timeline", 3,423 reactions, 222 reposts (a number that sounds wrong, then permission). Miller, "A 41yo mom told me last week", 1,394 reactions.</t>
  </si>
  <si>
    <t xml:space="preserve">lara-this-place-saved-me-2557rx-68rp.jpg; donnelly-you-ve-been-lied-to-about-your-success-t-3423rx-222rp.jpg</t>
  </si>
  <si>
    <t xml:space="preserve">none needed (the photograph) or viren/render.mjs tweet</t>
  </si>
  <si>
    <t xml:space="preserve">It is invented, it is a platitude anyone in the industry could post, or it reports progress. Drafted only from a line in bank/moments.md.</t>
  </si>
  <si>
    <t xml:space="preserve">The proof: a room we ran, a call that happened, an honest no</t>
  </si>
  <si>
    <t xml:space="preserve">when real, never before</t>
  </si>
  <si>
    <t xml:space="preserve">Shows the thing exists without claiming a result. Until there is delivery history it does not run.</t>
  </si>
  <si>
    <t xml:space="preserve">Lara, "Woke up to seeing my startup featured in Inc", 2,161 reactions (a screenshot that proves a claim). Heather Murray's team photo, 170 reactions on a 108 median.</t>
  </si>
  <si>
    <t xml:space="preserve">lara-woke-up-to-seeing-my-startup-featured-in-2161rx-46rp.jpg</t>
  </si>
  <si>
    <t xml:space="preserve">the photograph or screenshot</t>
  </si>
  <si>
    <t xml:space="preserve">Any testimonial without written permission; any placeholder standing in for proof.</t>
  </si>
  <si>
    <t xml:space="preserve">Sell</t>
  </si>
  <si>
    <t xml:space="preserve">The resource: the substance of a working document given in full in the post, the document on /resources behind first name and work email; one link, last line, UTM</t>
  </si>
  <si>
    <t xml:space="preserve">1 of 6</t>
  </si>
  <si>
    <t xml:space="preserve">The reader who never clicks leaves with the method; the reader who clicks leaves with the sheet. This is the only post that enters the funnel.</t>
  </si>
  <si>
    <t xml:space="preserve">Section (Greg Shove): one owned figure and a benchmark-your-team bridge. Welsh: the post is the lesson, the link is the appendix. Hassid, "I made a 16-page PDF to get you Claude-certified", 2,337 reactions, 246 reposts (the document as the post).</t>
  </si>
  <si>
    <t xml:space="preserve">none (Section CDN blocked); hassid list images above</t>
  </si>
  <si>
    <t xml:space="preserve">page plainlist template or text; resources/ PDF template</t>
  </si>
  <si>
    <t xml:space="preserve">It teases instead of giving, the document is not worth an email, or it says "comment X and I will send it".</t>
  </si>
  <si>
    <t xml:space="preserve">When a click is earned</t>
  </si>
  <si>
    <t xml:space="preserve">Need</t>
  </si>
  <si>
    <t xml:space="preserve">The reader has the problem this week and the document does the work for them: the licence audit sheet does the hour, the readiness check scores the answers. The post gives the method; the click saves the time.</t>
  </si>
  <si>
    <t xml:space="preserve">Desire</t>
  </si>
  <si>
    <t xml:space="preserve">The reader wants the finished thing, not the idea of it: the editable plan, the sheet with the formulas in, the checklist with their tools already on it.</t>
  </si>
  <si>
    <t xml:space="preserve">Scarcity</t>
  </si>
  <si>
    <t xml:space="preserve">A real limit, never a manufactured one: a session with a fixed number of places, a resource that carries a date, a count that was done this week. Never "before it gets buried".</t>
  </si>
  <si>
    <t xml:space="preserve">Never</t>
  </si>
  <si>
    <t xml:space="preserve">A link whose only job is a visit. A card footer that points at a page of prompt examples. A post that stops short so the page can finish the thought. "Comment X and I will send it".</t>
  </si>
  <si>
    <t xml:space="preserve">The funnel: six stages, what each is measured by, and which posts push where</t>
  </si>
  <si>
    <t xml:space="preserve">Stage</t>
  </si>
  <si>
    <t xml:space="preserve">Where it lives</t>
  </si>
  <si>
    <t xml:space="preserve">Measured by</t>
  </si>
  <si>
    <t xml:space="preserve">Posts that push here</t>
  </si>
  <si>
    <t xml:space="preserve">1 Reach</t>
  </si>
  <si>
    <t xml:space="preserve">Be seen by UK managers and owners at firms of 10 to 250</t>
  </si>
  <si>
    <t xml:space="preserve">Viren's profile first, the page second, referral partners, rooms</t>
  </si>
  <si>
    <t xml:space="preserve">Reach beyond followers, reposts, saves</t>
  </si>
  <si>
    <t xml:space="preserve">Every post; the person post most of all</t>
  </si>
  <si>
    <t xml:space="preserve">2 Value, free</t>
  </si>
  <si>
    <t xml:space="preserve">Prove we know the subject by giving it away complete</t>
  </si>
  <si>
    <t xml:space="preserve">The post itself, /insights, /prompts</t>
  </si>
  <si>
    <t xml:space="preserve">Site visits with UTM, comments from the buyer</t>
  </si>
  <si>
    <t xml:space="preserve">The reference and the show-how</t>
  </si>
  <si>
    <t xml:space="preserve">3 Capture</t>
  </si>
  <si>
    <t xml:space="preserve">Trade the working document for a work email</t>
  </si>
  <si>
    <t xml:space="preserve">/resources/&lt;slug&gt;</t>
  </si>
  <si>
    <t xml:space="preserve">Downloads, HubSpot contacts by source</t>
  </si>
  <si>
    <t xml:space="preserve">The resource post only</t>
  </si>
  <si>
    <t xml:space="preserve">4 Nurture</t>
  </si>
  <si>
    <t xml:space="preserve">Stay useful until the timing is right</t>
  </si>
  <si>
    <t xml:space="preserve">The fortnightly note, Resend</t>
  </si>
  <si>
    <t xml:space="preserve">Opens, replies</t>
  </si>
  <si>
    <t xml:space="preserve">None; the note is drafted from the bank</t>
  </si>
  <si>
    <t xml:space="preserve">5 Convert</t>
  </si>
  <si>
    <t xml:space="preserve">Twenty minutes, then a scope or an honest no</t>
  </si>
  <si>
    <t xml:space="preserve">/book, the enquiry form, DMs that became calls</t>
  </si>
  <si>
    <t xml:space="preserve">Calls held</t>
  </si>
  <si>
    <t xml:space="preserve">None on LinkedIn; the DM engine (Plan tab, daily row)</t>
  </si>
  <si>
    <t xml:space="preserve">6 Deliver and refer</t>
  </si>
  <si>
    <t xml:space="preserve">The day, the guarantee, the introduction</t>
  </si>
  <si>
    <t xml:space="preserve">The session, the referral sheet</t>
  </si>
  <si>
    <t xml:space="preserve">Days, referrals</t>
  </si>
  <si>
    <t xml:space="preserve">The proof post, once real</t>
  </si>
  <si>
    <t xml:space="preserve">Guard: no more than one post in five pushes to stage 3, and no post pushes to 4 or 5. Stage 6 feeds stage 1.</t>
  </si>
  <si>
    <t xml:space="preserve">Daily conversation engine (20 minutes, where the leads actually come from)</t>
  </si>
  <si>
    <t xml:space="preserve">1.</t>
  </si>
  <si>
    <t xml:space="preserve">Reply to every comment on the day's post inside the first hour with a sentence that adds something.</t>
  </si>
  <si>
    <t xml:space="preserve">2.</t>
  </si>
  <si>
    <t xml:space="preserve">When a commenter describes their own situation, take it to a DM with one real question ("which assistant is your team on?"). If the answer names a problem the resource solves, send /resources. If it names a problem the day solves, send /book.</t>
  </si>
  <si>
    <t xml:space="preserve">3.</t>
  </si>
  <si>
    <t xml:space="preserve">Comment with substance on five posts a day by owners and heads of operations, HR or L&amp;D at UK firms of 10 to 250, and by the accountants and IT providers who see them first.</t>
  </si>
  <si>
    <t xml:space="preserve">4.</t>
  </si>
  <si>
    <t xml:space="preserve">Ten outreach notes a week logged in HubSpot against the first-ten-customers plan. First paid session due 14 October 2026.</t>
  </si>
  <si>
    <t xml:space="preserve">The plan, 29 September to 23 October 2026 (UK times)</t>
  </si>
  <si>
    <t xml:space="preserve">Profile posts sit in the approval queue; Viren reads them Monday on his phone. Yellow: Viren supplies or decides. Tinted: the fortnightly Sell post.</t>
  </si>
  <si>
    <t xml:space="preserve">Date</t>
  </si>
  <si>
    <t xml:space="preserve">Day</t>
  </si>
  <si>
    <t xml:space="preserve">Time</t>
  </si>
  <si>
    <t xml:space="preserve">Channel</t>
  </si>
  <si>
    <t xml:space="preserve">Hook (draft)</t>
  </si>
  <si>
    <t xml:space="preserve">What it gives away</t>
  </si>
  <si>
    <t xml:space="preserve">Source material</t>
  </si>
  <si>
    <t xml:space="preserve">Format / renderer</t>
  </si>
  <si>
    <t xml:space="preserve">Asset</t>
  </si>
  <si>
    <t xml:space="preserve">Link</t>
  </si>
  <si>
    <t xml:space="preserve">Learned from</t>
  </si>
  <si>
    <t xml:space="preserve">Viren supplies</t>
  </si>
  <si>
    <t xml:space="preserve">Status</t>
  </si>
  <si>
    <t xml:space="preserve">Notes</t>
  </si>
  <si>
    <t xml:space="preserve">Mon</t>
  </si>
  <si>
    <t xml:space="preserve">08:15</t>
  </si>
  <si>
    <t xml:space="preserve">Page</t>
  </si>
  <si>
    <t xml:space="preserve">The Monday count</t>
  </si>
  <si>
    <t xml:space="preserve">Before you buy another AI licence, count who opened the last one.</t>
  </si>
  <si>
    <t xml:space="preserve">How to pull the usage report in Copilot, ChatGPT, Gemini and Claude, and what the number means for a firm of 10 to 250</t>
  </si>
  <si>
    <t xml:space="preserve">bank/posts/2026-09-25-count-who-opened-position.md</t>
  </si>
  <si>
    <t xml:space="preserve">page count or plainlist</t>
  </si>
  <si>
    <t xml:space="preserve">cards/ (render at batch)</t>
  </si>
  <si>
    <t xml:space="preserve">none</t>
  </si>
  <si>
    <t xml:space="preserve">Grandillon, "I checked 49 tools", 4.2x from a 69 median</t>
  </si>
  <si>
    <t xml:space="preserve">nothing</t>
  </si>
  <si>
    <t xml:space="preserve">planned</t>
  </si>
  <si>
    <t xml:space="preserve">Reuses the held position post as the count; a real count of our own replaces it as soon as we have one</t>
  </si>
  <si>
    <t xml:space="preserve">Tue</t>
  </si>
  <si>
    <t xml:space="preserve">07:45</t>
  </si>
  <si>
    <t xml:space="preserve">Profile</t>
  </si>
  <si>
    <t xml:space="preserve">The reference (comparison sheet)</t>
  </si>
  <si>
    <t xml:space="preserve">Most bad AI answers are bad questions.</t>
  </si>
  <si>
    <t xml:space="preserve">Six pairs: the request people type on the left, the version that works on the right, each a line they can paste today</t>
  </si>
  <si>
    <t xml:space="preserve">viren/posts/week-02.md (asked vs answered), removed from Buffer 23 Sep</t>
  </si>
  <si>
    <t xml:space="preserve">viren/versus.mjs</t>
  </si>
  <si>
    <t xml:space="preserve">viren/cards/asked-vs-answered.png</t>
  </si>
  <si>
    <t xml:space="preserve">Knight comparison sheet, 75 reposts on 83 comments; the most forwarded shape in the library</t>
  </si>
  <si>
    <t xml:space="preserve">Body already written; strip nothing, add nothing</t>
  </si>
  <si>
    <t xml:space="preserve">Republish Tuesday's reference</t>
  </si>
  <si>
    <t xml:space="preserve">Six requests, rewritten so the answer comes back usable.</t>
  </si>
  <si>
    <t xml:space="preserve">Same sheet in the page voice ("we")</t>
  </si>
  <si>
    <t xml:space="preserve">same as above</t>
  </si>
  <si>
    <t xml:space="preserve">native image</t>
  </si>
  <si>
    <t xml:space="preserve">Page voice, no first person</t>
  </si>
  <si>
    <t xml:space="preserve">Wed</t>
  </si>
  <si>
    <t xml:space="preserve">The show-how (prompt card)</t>
  </si>
  <si>
    <t xml:space="preserve">Two supplier quotes never line up. Make them.</t>
  </si>
  <si>
    <t xml:space="preserve">The prompt in full (compare two proposals on eight terms, quote the clause, write not stated where silent), what to attach, what good looks like, what goes wrong first time</t>
  </si>
  <si>
    <t xml:space="preserve">viren/posts/week-04.md (two quotes)</t>
  </si>
  <si>
    <t xml:space="preserve">viren/render.mjs prompt</t>
  </si>
  <si>
    <t xml:space="preserve">viren/cards/2026-09-30-two-quotes.png</t>
  </si>
  <si>
    <t xml:space="preserve">Hassid procedure posts; Hassid tc-13 prompt screenshot, 5/5 saveability</t>
  </si>
  <si>
    <t xml:space="preserve">Republish Wednesday's show-how</t>
  </si>
  <si>
    <t xml:space="preserve">One task, one prompt: two quotes that look the same.</t>
  </si>
  <si>
    <t xml:space="preserve">Same prompt in the page voice</t>
  </si>
  <si>
    <t xml:space="preserve">Drop the /prompts footer from the render (footRight empty): a link whose only job is a visit</t>
  </si>
  <si>
    <t xml:space="preserve">Thu</t>
  </si>
  <si>
    <t xml:space="preserve">The resource (licence audit)</t>
  </si>
  <si>
    <t xml:space="preserve">I keep asking owners the same question and nobody can answer it.</t>
  </si>
  <si>
    <t xml:space="preserve">The whole one-hour method: one row per seat, three bands decided before you look, one number for the board, then ask the Uses band what for. The click is need: the sheet already has the bands and the board fraction built, so the hour becomes twenty minutes</t>
  </si>
  <si>
    <t xml:space="preserve">bank/posts/2026-10-02-licence-audit-resource.md, profile version</t>
  </si>
  <si>
    <t xml:space="preserve">text, or page plainlist card</t>
  </si>
  <si>
    <t xml:space="preserve">licence-audit-plainlist (render) or none</t>
  </si>
  <si>
    <t xml:space="preserve">aiforcompanies.co.uk/resources/licence-audit with UTM, last line</t>
  </si>
  <si>
    <t xml:space="preserve">Section: one owned figure and a benchmark-your-team bridge. Welsh: the post is the lesson, the link is the appendix</t>
  </si>
  <si>
    <t xml:space="preserve">Put /resources/licence-audit live: lead-magnet-entry.js into data/lead-magnets.js, PDF and xlsx into public/downloads, build:check, push</t>
  </si>
  <si>
    <t xml:space="preserve">If the page is not live by Wednesday evening the slot takes the Storytell fallback (row below) and this moves to 8 October</t>
  </si>
  <si>
    <t xml:space="preserve">Fallback only: the person (voice card)</t>
  </si>
  <si>
    <t xml:space="preserve">Nobody is behind on AI.</t>
  </si>
  <si>
    <t xml:space="preserve">The position: the companies struggling are not slow, they are undocumented; the one boring thing that pays for itself</t>
  </si>
  <si>
    <t xml:space="preserve">viren/posts/week-02.md (written down), removed from Buffer 23 Sep</t>
  </si>
  <si>
    <t xml:space="preserve">viren/render.mjs tweet</t>
  </si>
  <si>
    <t xml:space="preserve">viren/cards/2026-10-02-written-down.png</t>
  </si>
  <si>
    <t xml:space="preserve">Hassid permission posts 2.5x and 1.9x; Donnelly 5.8x</t>
  </si>
  <si>
    <t xml:space="preserve">held</t>
  </si>
  <si>
    <t xml:space="preserve">Runs only if the resource page is not live</t>
  </si>
  <si>
    <t xml:space="preserve">The correction</t>
  </si>
  <si>
    <t xml:space="preserve">Copilot is not a model. It picks one, and you can now pick it yourself.</t>
  </si>
  <si>
    <t xml:space="preserve">Where the belief comes from, why it is wrong with a source opened this week, what changes if you drop it</t>
  </si>
  <si>
    <t xml:space="preserve">bank ready rows (correction type) or new from the week's sourcing</t>
  </si>
  <si>
    <t xml:space="preserve">page correction template</t>
  </si>
  <si>
    <t xml:space="preserve">render at batch</t>
  </si>
  <si>
    <t xml:space="preserve">Heather Murray, Copilot-picks-a-model, her only news post in her top ten; Donnelly "people think X is just Y"</t>
  </si>
  <si>
    <t xml:space="preserve">Batch chooses the correction from the week's sources; this hook is an example</t>
  </si>
  <si>
    <t xml:space="preserve">Fri</t>
  </si>
  <si>
    <t xml:space="preserve">The week, read</t>
  </si>
  <si>
    <t xml:space="preserve">Four things changed in the tools you pay for this week. One needs a decision.</t>
  </si>
  <si>
    <t xml:space="preserve">Four to six items, publisher, date, claim, why; the last item a UK document (ICO, NCSC, ONS, DSIT)</t>
  </si>
  <si>
    <t xml:space="preserve">bank/posts/2026-10-01-uk-guidance-roundup.md or fresh</t>
  </si>
  <si>
    <t xml:space="preserve">page roundup template</t>
  </si>
  <si>
    <t xml:space="preserve">cards/2026-10-01-uk-guidance-roundup.png</t>
  </si>
  <si>
    <t xml:space="preserve">York, Banks; van der Blom: 2 to 4 posts a week</t>
  </si>
  <si>
    <t xml:space="preserve">Tag publishers through bank/mentions.csv</t>
  </si>
  <si>
    <t xml:space="preserve">Sat</t>
  </si>
  <si>
    <t xml:space="preserve">09:00</t>
  </si>
  <si>
    <t xml:space="preserve">Profile (Convu)</t>
  </si>
  <si>
    <t xml:space="preserve">Convu: the room</t>
  </si>
  <si>
    <t xml:space="preserve">Forty strangers. One Soho pub. Nobody pitched.</t>
  </si>
  <si>
    <t xml:space="preserve">What happened at the trivia night: one thing seen, one line said, why the rooms have no name tags; the date of the next one</t>
  </si>
  <si>
    <t xml:space="preserve">viren/posts/week-01.md (blocked row); viren-content-plan week 1</t>
  </si>
  <si>
    <t xml:space="preserve">photograph</t>
  </si>
  <si>
    <t xml:space="preserve">none yet</t>
  </si>
  <si>
    <t xml:space="preserve">Lara, "This place saved me", 2,557; Viren's Convo #01, 6.8x his median</t>
  </si>
  <si>
    <t xml:space="preserve">The photograph from the night, the line someone said, the number who came</t>
  </si>
  <si>
    <t xml:space="preserve">Optional. No photograph, no post</t>
  </si>
  <si>
    <t xml:space="preserve">We checked the eight tools a 40-person accountancy already pays for. [N] have an AI assistant switched on.</t>
  </si>
  <si>
    <t xml:space="preserve">Our own count of one buyer's stack and what it means</t>
  </si>
  <si>
    <t xml:space="preserve">new: a count we do this week</t>
  </si>
  <si>
    <t xml:space="preserve">page count</t>
  </si>
  <si>
    <t xml:space="preserve">Grandillon original count</t>
  </si>
  <si>
    <t xml:space="preserve">Which firm's stack to count (a friendly accountant, with permission, anonymised)</t>
  </si>
  <si>
    <t xml:space="preserve">If no count exists, the slot takes a ready grid row from the bank</t>
  </si>
  <si>
    <t xml:space="preserve">The reference (numbered list card)</t>
  </si>
  <si>
    <t xml:space="preserve">Your four are already in your calendar.</t>
  </si>
  <si>
    <t xml:space="preserve">The twenty minutes that finds the four tasks worth writing as prompts: five steps, each with the exact thing to do</t>
  </si>
  <si>
    <t xml:space="preserve">viren/posts/week-04.md (find your four), removed from Buffer 23 Sep</t>
  </si>
  <si>
    <t xml:space="preserve">viren/list.mjs</t>
  </si>
  <si>
    <t xml:space="preserve">viren/cards/find-your-four.png</t>
  </si>
  <si>
    <t xml:space="preserve">Vanourek action-line card, 482 reactions, 178 comments; tc-62 highest combined score</t>
  </si>
  <si>
    <t xml:space="preserve">Body written; no closing link. Re-render the card with footRight empty so the sheet carries no site link</t>
  </si>
  <si>
    <t xml:space="preserve">How to find your four, in twenty minutes.</t>
  </si>
  <si>
    <t xml:space="preserve">Same card, page voice</t>
  </si>
  <si>
    <t xml:space="preserve">same</t>
  </si>
  <si>
    <t xml:space="preserve">Being copied in late is its own skill.</t>
  </si>
  <si>
    <t xml:space="preserve">The prompt in full (summarise the thread as the person just copied in: the decision, who is waiting on whom, dates, the one thing to do, under 120 words), attach the whole message</t>
  </si>
  <si>
    <t xml:space="preserve">viren/posts/week-03.md (the thread), removed from Buffer 23 Sep</t>
  </si>
  <si>
    <t xml:space="preserve">viren/cards/2026-10-06-the-thread.png</t>
  </si>
  <si>
    <t xml:space="preserve">Hassid procedure posts</t>
  </si>
  <si>
    <t xml:space="preserve">The thread you were copied into, in 120 words.</t>
  </si>
  <si>
    <t xml:space="preserve">Same prompt, page voice</t>
  </si>
  <si>
    <t xml:space="preserve">The person (photograph)</t>
  </si>
  <si>
    <t xml:space="preserve">[from the line in bank/moments.md]</t>
  </si>
  <si>
    <t xml:space="preserve">A real room or a real person from the fortnight, one quoted line, one thing it changed</t>
  </si>
  <si>
    <t xml:space="preserve">bank/moments.md (empty on 23 Sep)</t>
  </si>
  <si>
    <t xml:space="preserve">photograph, plain text</t>
  </si>
  <si>
    <t xml:space="preserve">Viren's photograph</t>
  </si>
  <si>
    <t xml:space="preserve">Lara: 12 of her top 20 are a face in a place that means something; images with people up to 50% better (van der Blom 2025)</t>
  </si>
  <si>
    <t xml:space="preserve">One photograph, one line someone said</t>
  </si>
  <si>
    <t xml:space="preserve">No line in moments.md by Sunday: the slot takes "I counted. 20 of our 25 prompts fail without a file." (voice card, viren/cards/2026-09-25-twenty-of-25.png), an original count told in first person</t>
  </si>
  <si>
    <t xml:space="preserve">[batch: one belief a UK buyer holds, corrected with a source]</t>
  </si>
  <si>
    <t xml:space="preserve">week's sourcing</t>
  </si>
  <si>
    <t xml:space="preserve">page correction</t>
  </si>
  <si>
    <t xml:space="preserve">[batch: four changes, one UK document last]</t>
  </si>
  <si>
    <t xml:space="preserve">bank/posts/2026-10-07-copilot-dates-roundup.md or fresh</t>
  </si>
  <si>
    <t xml:space="preserve">page roundup</t>
  </si>
  <si>
    <t xml:space="preserve">cards/2026-10-07-copilot-dates-roundup.png</t>
  </si>
  <si>
    <t xml:space="preserve">Convu: the people</t>
  </si>
  <si>
    <t xml:space="preserve">[N] people applied in six days.</t>
  </si>
  <si>
    <t xml:space="preserve">What the best three applications had in common; who is good in a room; the first event they are working</t>
  </si>
  <si>
    <t xml:space="preserve">viren-content-plan week 2 (the applications)</t>
  </si>
  <si>
    <t xml:space="preserve">screenshot or text</t>
  </si>
  <si>
    <t xml:space="preserve">Lara: hiring posts are her two best ever (3,339 and 2,411); Viren's hiring post 4.2x his median</t>
  </si>
  <si>
    <t xml:space="preserve">The number, the three observations, the first event</t>
  </si>
  <si>
    <t xml:space="preserve">Optional</t>
  </si>
  <si>
    <t xml:space="preserve">[batch: an original count of the buyer's stack]</t>
  </si>
  <si>
    <t xml:space="preserve">new count or bank grid row</t>
  </si>
  <si>
    <t xml:space="preserve">page count or grid</t>
  </si>
  <si>
    <t xml:space="preserve">a count, if one exists</t>
  </si>
  <si>
    <t xml:space="preserve">The reference (document, 8 to 10 slides)</t>
  </si>
  <si>
    <t xml:space="preserve">A week in prompts: five jobs, five prompts, in the order the week happens.</t>
  </si>
  <si>
    <t xml:space="preserve">One prompt a slide for Monday to Friday, each with what to attach; cover promises five, deck delivers five</t>
  </si>
  <si>
    <t xml:space="preserve">viren/carousels/2026-09-23-week-in-prompts.json</t>
  </si>
  <si>
    <t xml:space="preserve">viren/carousel.mjs</t>
  </si>
  <si>
    <t xml:space="preserve">viren/cards/2026-09-23-week-in-prompts.pdf</t>
  </si>
  <si>
    <t xml:space="preserve">Documents 1.39x reach, 1.30x engagement (AuthoredUp); 8 to 10 slides best (van der Blom 2025); Cole's deck works because every slide stands alone</t>
  </si>
  <si>
    <t xml:space="preserve">Check the deck is 8 to 10 slides; trim or add before Sunday</t>
  </si>
  <si>
    <t xml:space="preserve">Already rendered as a PDF</t>
  </si>
  <si>
    <t xml:space="preserve">Five prompts for the five days of the week.</t>
  </si>
  <si>
    <t xml:space="preserve">Same document, page voice</t>
  </si>
  <si>
    <t xml:space="preserve">native document</t>
  </si>
  <si>
    <t xml:space="preserve">Every meeting has an action nobody owns.</t>
  </si>
  <si>
    <t xml:space="preserve">The prompt in full (every action as a table, owner, action in their words, date or trigger, mark the unowned, exclude what was only discussed), do not tidy the notes first</t>
  </si>
  <si>
    <t xml:space="preserve">viren/posts/week-03.md (the actions), removed from Buffer 23 Sep</t>
  </si>
  <si>
    <t xml:space="preserve">viren/cards/2026-10-07-the-actions.png</t>
  </si>
  <si>
    <t xml:space="preserve">Hassid</t>
  </si>
  <si>
    <t xml:space="preserve">14 October is the first-paid-session deadline in first-ten-customers.md</t>
  </si>
  <si>
    <t xml:space="preserve">The meeting nobody wrote up.</t>
  </si>
  <si>
    <t xml:space="preserve">The resource (team AI readiness check)</t>
  </si>
  <si>
    <t xml:space="preserve">Ten questions tell you whether a team is ready to use the AI it already pays for.</t>
  </si>
  <si>
    <t xml:space="preserve">All ten questions in the post, what each band means, what each band should do first. The click is desire: the scored sheet tells a manager where their own team sits and hands them the first move for that band</t>
  </si>
  <si>
    <t xml:space="preserve">Resource 05, to build the week of 6 October from an approved outline</t>
  </si>
  <si>
    <t xml:space="preserve">text or page plainlist card</t>
  </si>
  <si>
    <t xml:space="preserve">aiforcompanies.co.uk/resources/readiness-check with UTM, last line</t>
  </si>
  <si>
    <t xml:space="preserve">Section's benchmark at SME scale, framed honestly as a self-check with no invented benchmark; leads into the scoping call because the attendee survey is already how we build a day</t>
  </si>
  <si>
    <t xml:space="preserve">Approve the ten questions and the three bands by 6 October</t>
  </si>
  <si>
    <t xml:space="preserve">If Resource 05 is not live, the slot takes a Storytell post and the resource moves to 22 October. Two resource posts never run in one week</t>
  </si>
  <si>
    <t xml:space="preserve">[batch]</t>
  </si>
  <si>
    <t xml:space="preserve">fresh</t>
  </si>
  <si>
    <t xml:space="preserve">Convu: the floor team</t>
  </si>
  <si>
    <t xml:space="preserve">Three strangers worked a floor for us on Tuesday.</t>
  </si>
  <si>
    <t xml:space="preserve">One conversation one of them had, in their words; what Viren learned watching; the one thing he told them beforehand that mattered</t>
  </si>
  <si>
    <t xml:space="preserve">viren-content-plan week 3</t>
  </si>
  <si>
    <t xml:space="preserve">A real room, real people</t>
  </si>
  <si>
    <t xml:space="preserve">The photograph, one story from the day</t>
  </si>
  <si>
    <t xml:space="preserve">The reference (original count, voice card)</t>
  </si>
  <si>
    <t xml:space="preserve">I counted. 20 of our 25 prompts fail without a file.</t>
  </si>
  <si>
    <t xml:space="preserve">The count, what the five that work alone have in common, and the test for any prompt: does it name a file</t>
  </si>
  <si>
    <t xml:space="preserve">viren/posts/week-01.md (twenty of 25), removed from Buffer 23 Sep</t>
  </si>
  <si>
    <t xml:space="preserve">viren/cards/2026-09-25-twenty-of-25.png</t>
  </si>
  <si>
    <t xml:space="preserve">Grandillon, "I checked 49 tools", 4.2x: the original count is the cheapest 4x on the board</t>
  </si>
  <si>
    <t xml:space="preserve">Educate, not Storytell: the value is the count. Skip if it ran as the 8 October fallback</t>
  </si>
  <si>
    <t xml:space="preserve">20 of the 25 prompts we publish need a file. Here is which.</t>
  </si>
  <si>
    <t xml:space="preserve">The count, page voice, with the five that work alone named</t>
  </si>
  <si>
    <t xml:space="preserve">native image or plainlist</t>
  </si>
  <si>
    <t xml:space="preserve">The update you write at four on a Friday.</t>
  </si>
  <si>
    <t xml:space="preserve">The prompt in full (three headings: what moved, what is blocked, what we need from you; one line on next week; under 200 words; [CHECK] where unclear)</t>
  </si>
  <si>
    <t xml:space="preserve">viren/posts/week-03.md (the update), removed from Buffer 23 Sep</t>
  </si>
  <si>
    <t xml:space="preserve">viren/cards/2026-10-09-the-update.png</t>
  </si>
  <si>
    <t xml:space="preserve">The client update, in 200 words.</t>
  </si>
  <si>
    <t xml:space="preserve">The proof, or the person</t>
  </si>
  <si>
    <t xml:space="preserve">[written on the day from what happened]</t>
  </si>
  <si>
    <t xml:space="preserve">If a first day has been delivered: the room, what a team changed by the afternoon, with permission. If not: the honest version, a real call or a real no, or a photograph and a line from moments.md</t>
  </si>
  <si>
    <t xml:space="preserve">bank/moments.md; the first-ten-customers plan</t>
  </si>
  <si>
    <t xml:space="preserve">Lara Inc screenshot, 2,161 (proof shown, not claimed); Heather's team photo</t>
  </si>
  <si>
    <t xml:space="preserve">What happened</t>
  </si>
  <si>
    <t xml:space="preserve">Never a testimonial without written permission. Fallback: "Most of the AI features I pay for, I have never opened." (voice card, viren/cards/2026-09-26-never-opened.png), a permission post</t>
  </si>
  <si>
    <t xml:space="preserve">Mix check (formulas)</t>
  </si>
  <si>
    <t xml:space="preserve">Profile posts, AIforCompanies track</t>
  </si>
  <si>
    <t xml:space="preserve">of which Educate</t>
  </si>
  <si>
    <t xml:space="preserve">of which Storytell</t>
  </si>
  <si>
    <t xml:space="preserve">of which Sell</t>
  </si>
  <si>
    <t xml:space="preserve">Sell share (target one in six, never above one in four)</t>
  </si>
  <si>
    <t xml:space="preserve">Page posts</t>
  </si>
  <si>
    <t xml:space="preserve">Posts carrying a link (should equal the Sell count)</t>
  </si>
  <si>
    <t xml:space="preserve">Rows still needing something from Viren</t>
  </si>
  <si>
    <t xml:space="preserve">Guard: Sell share above 25% turns the cell red.</t>
  </si>
  <si>
    <t xml:space="preserve">The twelve profile posts removed from Buffer on 23 September 2026, and where each goes now</t>
  </si>
  <si>
    <t xml:space="preserve">Old slot</t>
  </si>
  <si>
    <t xml:space="preserve">Hook</t>
  </si>
  <si>
    <t xml:space="preserve">Format</t>
  </si>
  <si>
    <t xml:space="preserve">New slot</t>
  </si>
  <si>
    <t xml:space="preserve">Reason</t>
  </si>
  <si>
    <t xml:space="preserve">Thu 24 Sep 13:30</t>
  </si>
  <si>
    <t xml:space="preserve">comparison sheet</t>
  </si>
  <si>
    <t xml:space="preserve">Tue 29 Sep 07:45</t>
  </si>
  <si>
    <t xml:space="preserve">The week's reference; the most forwarded shape</t>
  </si>
  <si>
    <t xml:space="preserve">Fri 25 Sep 13:55</t>
  </si>
  <si>
    <t xml:space="preserve">voice card</t>
  </si>
  <si>
    <t xml:space="preserve">Tue 20 Oct 07:45 (or 8 Oct fallback)</t>
  </si>
  <si>
    <t xml:space="preserve">An original count, Educate</t>
  </si>
  <si>
    <t xml:space="preserve">Mon 28 Sep 20:53</t>
  </si>
  <si>
    <t xml:space="preserve">Two quotes. Same service. Forty pages between them.</t>
  </si>
  <si>
    <t xml:space="preserve">prompt card</t>
  </si>
  <si>
    <t xml:space="preserve">Wed 30 Sep 07:45</t>
  </si>
  <si>
    <t xml:space="preserve">Show-how</t>
  </si>
  <si>
    <t xml:space="preserve">Tue 29 Sep 21:40</t>
  </si>
  <si>
    <t xml:space="preserve">Most of the AI features I pay for, I have never opened.</t>
  </si>
  <si>
    <t xml:space="preserve">viren/cards/2026-09-26-never-opened.png</t>
  </si>
  <si>
    <t xml:space="preserve">Thu 22 Oct fallback</t>
  </si>
  <si>
    <t xml:space="preserve">Permission post, Storytell</t>
  </si>
  <si>
    <t xml:space="preserve">Wed 30 Sep 14:54</t>
  </si>
  <si>
    <t xml:space="preserve">Wed 7 Oct 07:45</t>
  </si>
  <si>
    <t xml:space="preserve">Thu 1 Oct 13:30</t>
  </si>
  <si>
    <t xml:space="preserve">Thu 1 Oct fallback</t>
  </si>
  <si>
    <t xml:space="preserve">Fri 2 Oct 13:55</t>
  </si>
  <si>
    <t xml:space="preserve">The second answer is the one that matters.</t>
  </si>
  <si>
    <t xml:space="preserve">text</t>
  </si>
  <si>
    <t xml:space="preserve">Good position; no slot in the four weeks. Candidate for November</t>
  </si>
  <si>
    <t xml:space="preserve">Mon 5 Oct 20:53</t>
  </si>
  <si>
    <t xml:space="preserve">Wed 14 Oct 07:45</t>
  </si>
  <si>
    <t xml:space="preserve">Tue 6 Oct 21:40</t>
  </si>
  <si>
    <t xml:space="preserve">Somebody else built the model you rely on.</t>
  </si>
  <si>
    <t xml:space="preserve">viren/cards/2026-10-08-the-spreadsheet.png</t>
  </si>
  <si>
    <t xml:space="preserve">Fifth show-how; first Wednesday in November</t>
  </si>
  <si>
    <t xml:space="preserve">Wed 7 Oct 14:54</t>
  </si>
  <si>
    <t xml:space="preserve">Wed 21 Oct 07:45</t>
  </si>
  <si>
    <t xml:space="preserve">Thu 8 Oct 13:30</t>
  </si>
  <si>
    <t xml:space="preserve">Everybody proofreads. Almost nobody stress-tests.</t>
  </si>
  <si>
    <t xml:space="preserve">viren/cards/2026-10-12-the-board-paper.png</t>
  </si>
  <si>
    <t xml:space="preserve">Sixth show-how; November</t>
  </si>
  <si>
    <t xml:space="preserve">Fri 9 Oct 13:55</t>
  </si>
  <si>
    <t xml:space="preserve">numbered list card</t>
  </si>
  <si>
    <t xml:space="preserve">Tue 6 Oct 07:45</t>
  </si>
  <si>
    <t xml:space="preserve">Reference</t>
  </si>
  <si>
    <t xml:space="preserve">Also: the two blocked rows (trivia-night photo post, seven-habits photo carousel) stay blocked until the photographs exist. viren/queue.csv now marks all twelve as held.</t>
  </si>
  <si>
    <t xml:space="preserve">The 56 top-engagement posts saved on 23 September 2026 (references/winners/img/), ranked by reactions plus six times reposts</t>
  </si>
  <si>
    <t xml:space="preserve">Own posts only, images only, about 40 recent posts per creator. Heather Murray skipped on Viren's instruction. Open a post at linkedin.com/feed/update/urn:li:activity:&lt;urn&gt;.</t>
  </si>
  <si>
    <t xml:space="preserve">Creator</t>
  </si>
  <si>
    <t xml:space="preserve">Reactions</t>
  </si>
  <si>
    <t xml:space="preserve">Comments</t>
  </si>
  <si>
    <t xml:space="preserve">Reposts</t>
  </si>
  <si>
    <t xml:space="preserve">Score (rx + 6 x rp)</t>
  </si>
  <si>
    <t xml:space="preserve">Chars</t>
  </si>
  <si>
    <t xml:space="preserve">Activity urn</t>
  </si>
  <si>
    <t xml:space="preserve">File in references/winners/img/</t>
  </si>
  <si>
    <t xml:space="preserve">Mechanic to take (fill as reviewed)</t>
  </si>
  <si>
    <t xml:space="preserve">hassid</t>
  </si>
  <si>
    <t xml:space="preserve">Don't post (obvious) AI-written content.</t>
  </si>
  <si>
    <t xml:space="preserve">7486374672033316864</t>
  </si>
  <si>
    <t xml:space="preserve">hassid-don-t-post-obvious-ai-written-content-4427rx-306rp.jpg</t>
  </si>
  <si>
    <t xml:space="preserve">donnelly</t>
  </si>
  <si>
    <t xml:space="preserve">You've been lied to about your success timeline.</t>
  </si>
  <si>
    <t xml:space="preserve">7492187100549894144</t>
  </si>
  <si>
    <t xml:space="preserve">donnelly-you-ve-been-lied-to-about-your-success-t-3423rx-222rp.jpg</t>
  </si>
  <si>
    <t xml:space="preserve">Optimising your landing page for rankings is not enough.</t>
  </si>
  <si>
    <t xml:space="preserve">7492549339697905664</t>
  </si>
  <si>
    <t xml:space="preserve">donnelly-optimising-your-landing-page-for-ranking-2598rx-342rp.jpg</t>
  </si>
  <si>
    <t xml:space="preserve">Hot take: actual failure is worth congratulating. </t>
  </si>
  <si>
    <t xml:space="preserve">7497985610431827968</t>
  </si>
  <si>
    <t xml:space="preserve">donnelly-hot-take-actual-failure-is-worth-congrat-2862rx-162rp.jpg</t>
  </si>
  <si>
    <t xml:space="preserve">Almost nobody knows Claude has secret codes.</t>
  </si>
  <si>
    <t xml:space="preserve">7504131829256331266</t>
  </si>
  <si>
    <t xml:space="preserve">hassid-almost-nobody-knows-claude-has-secret-co-2161rx-269rp.jpg</t>
  </si>
  <si>
    <t xml:space="preserve">lara</t>
  </si>
  <si>
    <t xml:space="preserve">I (finally) landed a 1:1 meeting with the LinkedIn team. </t>
  </si>
  <si>
    <t xml:space="preserve">7477669736005185536</t>
  </si>
  <si>
    <t xml:space="preserve">lara-i-finally-landed-a-1-1-meeting-with-the-3227rx-51rp.jpg</t>
  </si>
  <si>
    <t xml:space="preserve">AI is the biggest technological shift ever and you're stuck on ChatGPT</t>
  </si>
  <si>
    <t xml:space="preserve">7486751245081231360</t>
  </si>
  <si>
    <t xml:space="preserve">donnelly-ai-is-the-biggest-technological-shift-ev-1784rx-222rp.jpg</t>
  </si>
  <si>
    <t xml:space="preserve">I'm building a business (again), and I'm officially HIRING!</t>
  </si>
  <si>
    <t xml:space="preserve">7505947057556221953</t>
  </si>
  <si>
    <t xml:space="preserve">lara-i-m-building-a-business-again-and-i-m-of-2411rx-101rp.jpg</t>
  </si>
  <si>
    <t xml:space="preserve">This place saved me. </t>
  </si>
  <si>
    <t xml:space="preserve">7499058396294266881</t>
  </si>
  <si>
    <t xml:space="preserve">lara-this-place-saved-me-2557rx-68rp.jpg</t>
  </si>
  <si>
    <t xml:space="preserve">We took Searchable from 0 → $85M in 5 months. </t>
  </si>
  <si>
    <t xml:space="preserve">7473705360567181312</t>
  </si>
  <si>
    <t xml:space="preserve">donnelly-we-took-searchable-from-0-85m-in-5-month-2055rx-143rp.jpg</t>
  </si>
  <si>
    <t xml:space="preserve">hills</t>
  </si>
  <si>
    <t xml:space="preserve">I turned Claude into an entire company.</t>
  </si>
  <si>
    <t xml:space="preserve">7481648501345456128</t>
  </si>
  <si>
    <t xml:space="preserve">hills-i-turned-claude-into-an-entire-company-1570rx-218rp.jpg</t>
  </si>
  <si>
    <t xml:space="preserve">You installed Claude Code and stopped there.</t>
  </si>
  <si>
    <t xml:space="preserve">7487446720126099456</t>
  </si>
  <si>
    <t xml:space="preserve">hills-you-installed-claude-code-and-stopped-th-1563rx-215rp.jpg</t>
  </si>
  <si>
    <t xml:space="preserve">The top path is what people expect SEO to look like.</t>
  </si>
  <si>
    <t xml:space="preserve">7487113545747259392</t>
  </si>
  <si>
    <t xml:space="preserve">donnelly-the-top-path-is-what-people-expect-seo-t-1606rx-207rp.jpg</t>
  </si>
  <si>
    <t xml:space="preserve">5 years ago, I didn’t think any of this was possible.</t>
  </si>
  <si>
    <t xml:space="preserve">7492904349963071488</t>
  </si>
  <si>
    <t xml:space="preserve">lara-5-years-ago-i-didn-t-think-any-of-this-w-2397rx-58rp.jpg</t>
  </si>
  <si>
    <t xml:space="preserve">Common misbelief: Modern marketing is just "posting online."</t>
  </si>
  <si>
    <t xml:space="preserve">7493273968687284225</t>
  </si>
  <si>
    <t xml:space="preserve">donnelly-common-misbelief-modern-marketing-is-jus-1502rx-204rp.jpg</t>
  </si>
  <si>
    <t xml:space="preserve">Every week, I see another layoff round. </t>
  </si>
  <si>
    <t xml:space="preserve">7465359909363200000</t>
  </si>
  <si>
    <t xml:space="preserve">lara-every-week-i-see-another-layoff-round-2426rx-45rp.jpg</t>
  </si>
  <si>
    <t xml:space="preserve">I've spent 1,000s of hours mastering Claude.</t>
  </si>
  <si>
    <t xml:space="preserve">7474038363872800768</t>
  </si>
  <si>
    <t xml:space="preserve">hills-i-ve-spent-1-000s-of-hours-mastering-cla-1440rx-196rp.jpg</t>
  </si>
  <si>
    <t xml:space="preserve">I’ve built 100+ teams across 4 8-figure businesses.</t>
  </si>
  <si>
    <t xml:space="preserve">7479503443183894528</t>
  </si>
  <si>
    <t xml:space="preserve">donnelly-i-ve-built-100-teams-across-4-8-figure-b-1559rx-173rp.jpg</t>
  </si>
  <si>
    <t xml:space="preserve">You don't need to pay for Claude Code.</t>
  </si>
  <si>
    <t xml:space="preserve">7474400745233133568</t>
  </si>
  <si>
    <t xml:space="preserve">hills-you-don-t-need-to-pay-for-claude-code-1513rx-180rp.jpg</t>
  </si>
  <si>
    <t xml:space="preserve">Stop writing prompts from scratch like it's 2025.</t>
  </si>
  <si>
    <t xml:space="preserve">7489907908193792000</t>
  </si>
  <si>
    <t xml:space="preserve">If I had to grow my following to 356k all over again...</t>
  </si>
  <si>
    <t xml:space="preserve">7501241973626994688</t>
  </si>
  <si>
    <t xml:space="preserve">lara-if-i-had-to-grow-my-following-to-356k-al-2179rx-60rp.jpg</t>
  </si>
  <si>
    <t xml:space="preserve">Big news today!</t>
  </si>
  <si>
    <t xml:space="preserve">7500147628605685760</t>
  </si>
  <si>
    <t xml:space="preserve">lara-big-news-today-2294rx-40rp.jpg</t>
  </si>
  <si>
    <t xml:space="preserve">Woke up to seeing my startup featured in Inc Magazine!!</t>
  </si>
  <si>
    <t xml:space="preserve">7500510731042463744</t>
  </si>
  <si>
    <t xml:space="preserve">Stop bookmarking 50 guides you'll never read. </t>
  </si>
  <si>
    <t xml:space="preserve">7486284088073568256</t>
  </si>
  <si>
    <t xml:space="preserve">hassid-stop-bookmarking-50-guides-you-ll-never-1391rx-151rp.jpg</t>
  </si>
  <si>
    <t xml:space="preserve">My mom asked me, "What the hell is Claude?" </t>
  </si>
  <si>
    <t xml:space="preserve">7482750773844545538</t>
  </si>
  <si>
    <t xml:space="preserve">hassid-my-mom-asked-me-what-the-hell-is-claude-1608rx-112rp.jpg</t>
  </si>
  <si>
    <t xml:space="preserve">Don't build (another) file folder in Claude.</t>
  </si>
  <si>
    <t xml:space="preserve">7482388403662123008</t>
  </si>
  <si>
    <t xml:space="preserve">hassid-don-t-build-another-file-folder-in-claud-1435rx-130rp.jpg</t>
  </si>
  <si>
    <t xml:space="preserve">Don't upgrade to the $100 Claude plan (yet). </t>
  </si>
  <si>
    <t xml:space="preserve">7489273760278102016</t>
  </si>
  <si>
    <t xml:space="preserve">hassid-don-t-upgrade-to-the-100-claude-plan-yet-1403rx-134rp.jpg</t>
  </si>
  <si>
    <t xml:space="preserve">miller</t>
  </si>
  <si>
    <t xml:space="preserve">The most expensive mistake in enterprise AI right now: treating FDEs a</t>
  </si>
  <si>
    <t xml:space="preserve">7460411870492033024</t>
  </si>
  <si>
    <t xml:space="preserve">miller-the-most-expensive-mistake-in-enterprise-1527rx-107rp.jpg</t>
  </si>
  <si>
    <t xml:space="preserve">3 agent modes are now live in Claude:</t>
  </si>
  <si>
    <t xml:space="preserve">7466428211489320960</t>
  </si>
  <si>
    <t xml:space="preserve">hills-3-agent-modes-are-now-live-in-claude-1255rx-147rp.jpg</t>
  </si>
  <si>
    <t xml:space="preserve">It's crazy how my entire Linkedin feed is about Claude but no one actu</t>
  </si>
  <si>
    <t xml:space="preserve">7493531791492939777</t>
  </si>
  <si>
    <t xml:space="preserve">hassid-it-s-crazy-how-my-entire-linkedin-feed-i-1621rx-77rp.jpg</t>
  </si>
  <si>
    <t xml:space="preserve">Claude Code (actually) replaced my video editor.</t>
  </si>
  <si>
    <t xml:space="preserve">7466790582414209024</t>
  </si>
  <si>
    <t xml:space="preserve">hills-claude-code-actually-replaced-my-video-e-1316rx-119rp.jpg</t>
  </si>
  <si>
    <t xml:space="preserve">Claude has 375+ native MCP connectors.</t>
  </si>
  <si>
    <t xml:space="preserve">7473675973541044225</t>
  </si>
  <si>
    <t xml:space="preserve">hills-claude-has-375-native-mcp-connectors-1023rx-139rp.jpg</t>
  </si>
  <si>
    <t xml:space="preserve">My entire Claude skills library is now free.</t>
  </si>
  <si>
    <t xml:space="preserve">7482010886505730048</t>
  </si>
  <si>
    <t xml:space="preserve">hills-my-entire-claude-skills-library-is-now-f-1131rx-120rp.jpg</t>
  </si>
  <si>
    <t xml:space="preserve">I stole this framework, and it has genuinely been one of the most help</t>
  </si>
  <si>
    <t xml:space="preserve">7450607447506911232</t>
  </si>
  <si>
    <t xml:space="preserve">miller-i-stole-this-framework-and-it-has-genuin-1270rx-45rp.jpg</t>
  </si>
  <si>
    <t xml:space="preserve">A 41yo mom told me last week that she's raising her daughter as a "90s</t>
  </si>
  <si>
    <t xml:space="preserve">7462202587820478464</t>
  </si>
  <si>
    <t xml:space="preserve">miller-a-41yo-mom-told-me-last-week-that-she-s-1394rx-22rp.jpg</t>
  </si>
  <si>
    <t xml:space="preserve">Anthropic just went after the 44% of U.S. GDP that enterprise AI has m</t>
  </si>
  <si>
    <t xml:space="preserve">7461118708674052097</t>
  </si>
  <si>
    <t xml:space="preserve">miller-anthropic-just-went-after-the-44-of-u-s-1182rx-50rp.jpg</t>
  </si>
  <si>
    <t xml:space="preserve">banks</t>
  </si>
  <si>
    <t xml:space="preserve">Anthropic said no to the Pentagon.</t>
  </si>
  <si>
    <t xml:space="preserve">7434221682770300929</t>
  </si>
  <si>
    <t xml:space="preserve">banks-anthropic-said-no-to-the-pentagon-1090rx-51rp.jpg</t>
  </si>
  <si>
    <t xml:space="preserve">Anthropic just measured which jobs AI is actually replacing.</t>
  </si>
  <si>
    <t xml:space="preserve">7436758248516571137</t>
  </si>
  <si>
    <t xml:space="preserve">banks-anthropic-just-measured-which-jobs-ai-is-877rx-77rp.jpg</t>
  </si>
  <si>
    <t xml:space="preserve">Your AI company is just a wrapper.</t>
  </si>
  <si>
    <t xml:space="preserve">7460298125673562112</t>
  </si>
  <si>
    <t xml:space="preserve">banks-your-ai-company-is-just-a-wrapper-936rx-38rp.jpg</t>
  </si>
  <si>
    <t xml:space="preserve">If you had told a 5-year-old Allie that she was going to run an AI Age</t>
  </si>
  <si>
    <t xml:space="preserve">7491183219653103616</t>
  </si>
  <si>
    <t xml:space="preserve">miller-if-you-had-told-a-5-year-old-allie-that-1083rx-11rp.jpg</t>
  </si>
  <si>
    <t xml:space="preserve">My most valuable AI agent does absolutely no work, and I mean that as </t>
  </si>
  <si>
    <t xml:space="preserve">7473066572170022913</t>
  </si>
  <si>
    <t xml:space="preserve">miller-my-most-valuable-ai-agent-does-absolutel-927rx-15rp.jpg</t>
  </si>
  <si>
    <t xml:space="preserve">Google owns the chips, the models, and the cloud.</t>
  </si>
  <si>
    <t xml:space="preserve">7457400077091815424</t>
  </si>
  <si>
    <t xml:space="preserve">banks-google-owns-the-chips-the-models-and-the-810rx-31rp.jpg</t>
  </si>
  <si>
    <t xml:space="preserve">Anthropic just found "emotions" inside Claude.</t>
  </si>
  <si>
    <t xml:space="preserve">7445805537503604736</t>
  </si>
  <si>
    <t xml:space="preserve">banks-anthropic-just-found-emotions-inside-cla-621rx-56rp.jpg</t>
  </si>
  <si>
    <t xml:space="preserve">AI has a secondary intent problem.</t>
  </si>
  <si>
    <t xml:space="preserve">7460757579200200704</t>
  </si>
  <si>
    <t xml:space="preserve">miller-ai-has-a-secondary-intent-problem-789rx-18rp.jpg</t>
  </si>
  <si>
    <t xml:space="preserve">Dario Amodei warned AI would eliminate half of entry-level white-colla</t>
  </si>
  <si>
    <t xml:space="preserve">7458490204799246336</t>
  </si>
  <si>
    <t xml:space="preserve">banks-dario-amodei-warned-ai-would-eliminate-h-606rx-43rp.jpg</t>
  </si>
  <si>
    <t xml:space="preserve">I can finally share that I've been testing GPT-5.6 early, and oooo boy</t>
  </si>
  <si>
    <t xml:space="preserve">7481392403200008193</t>
  </si>
  <si>
    <t xml:space="preserve">miller-i-can-finally-share-that-i-ve-been-testi-697rx-25rp.jpg</t>
  </si>
  <si>
    <t xml:space="preserve">SpaceX just bought Cursor for $60 billion.</t>
  </si>
  <si>
    <t xml:space="preserve">7472979517649649665</t>
  </si>
  <si>
    <t xml:space="preserve">banks-spacex-just-bought-cursor-for-60-billion-592rx-27rp.jpg</t>
  </si>
  <si>
    <t xml:space="preserve">Anthropic just signed a multi-billion-dollar compute deal with Elon Mu</t>
  </si>
  <si>
    <t xml:space="preserve">7458123625963978753</t>
  </si>
  <si>
    <t xml:space="preserve">banks-anthropic-just-signed-a-multi-billion-do-580rx-25rp.jpg</t>
  </si>
  <si>
    <t xml:space="preserve">grandillon</t>
  </si>
  <si>
    <t xml:space="preserve">I checked 49 tools in the GTM stack.</t>
  </si>
  <si>
    <t xml:space="preserve">7491471204265156609</t>
  </si>
  <si>
    <t xml:space="preserve">grandillon-i-checked-49-tools-in-the-gtm-stack-290rx-12rp.jpg</t>
  </si>
  <si>
    <t xml:space="preserve">Two weeks. Two of the biggest events in France. Late on all my work.</t>
  </si>
  <si>
    <t xml:space="preserve">7476250485272846338</t>
  </si>
  <si>
    <t xml:space="preserve">grandillon-two-weeks-two-of-the-biggest-events-in-f-178rx-0rp.jpg</t>
  </si>
  <si>
    <t xml:space="preserve">Yesterday I went to the Clay conference in London.</t>
  </si>
  <si>
    <t xml:space="preserve">7468640284986413057</t>
  </si>
  <si>
    <t xml:space="preserve">grandillon-yesterday-i-went-to-the-clay-conference-142rx-1rp.jpg</t>
  </si>
  <si>
    <t xml:space="preserve">I use 3 different AI agents systems every day.</t>
  </si>
  <si>
    <t xml:space="preserve">7490386342510751744</t>
  </si>
  <si>
    <t xml:space="preserve">grandillon-i-use-3-different-ai-agents-systems-ever-126rx-3rp.jpg</t>
  </si>
  <si>
    <t xml:space="preserve">I killed one of our Clay tables last month.</t>
  </si>
  <si>
    <t xml:space="preserve">7467915552754188289</t>
  </si>
  <si>
    <t xml:space="preserve">grandillon-i-killed-one-of-our-clay-tables-last-mon-115rx-0rp.jpg</t>
  </si>
  <si>
    <t xml:space="preserve">6 psychology principles separate closers from callers.</t>
  </si>
  <si>
    <t xml:space="preserve">7468278809017110528</t>
  </si>
  <si>
    <t xml:space="preserve">grandillon-6-psychology-principles-separate-closers-81rx-5rp.jpg</t>
  </si>
  <si>
    <t xml:space="preserve">I'm super excited to join these legends for such an exiting panel! </t>
  </si>
  <si>
    <t xml:space="preserve">7499080905861402624</t>
  </si>
  <si>
    <t xml:space="preserve">grandillon-i-m-super-excited-to-join-these-legends-85rx-4rp.jpg</t>
  </si>
  <si>
    <t xml:space="preserve">Eight years in this game and I've never seen the entry barrier this lo</t>
  </si>
  <si>
    <t xml:space="preserve">7461030127070617600</t>
  </si>
  <si>
    <t xml:space="preserve">grandillon-eight-years-in-this-game-and-i-ve-never-82rx-2rp.jpg</t>
  </si>
  <si>
    <t xml:space="preserve">Average of each creator's top eight (formulas): reactions, reposts</t>
  </si>
  <si>
    <t xml:space="preserve">Note: averages of each creator's top eight, not of their whole feed. Whole-feed medians are in references/creators/.</t>
  </si>
  <si>
    <t xml:space="preserve">Weekly measures, in the order they matter. Impressions are a health check only.</t>
  </si>
  <si>
    <t xml:space="preserve">Fill every Monday from Buffer, the LinkedIn app (saves), HubSpot and cal.com. Page and profile are reported separately in the Monday note; this sheet is the profile.</t>
  </si>
  <si>
    <t xml:space="preserve">Week starting</t>
  </si>
  <si>
    <t xml:space="preserve">Posts published</t>
  </si>
  <si>
    <t xml:space="preserve">Saves</t>
  </si>
  <si>
    <t xml:space="preserve">Comments from buyers</t>
  </si>
  <si>
    <t xml:space="preserve">DMs started</t>
  </si>
  <si>
    <t xml:space="preserve">DMs that reached a question</t>
  </si>
  <si>
    <t xml:space="preserve">Resource downloads (HubSpot source)</t>
  </si>
  <si>
    <t xml:space="preserve">Calls booked</t>
  </si>
  <si>
    <t xml:space="preserve">Impressions (health only)</t>
  </si>
  <si>
    <t xml:space="preserve">Downloads per DM</t>
  </si>
  <si>
    <t xml:space="preserve">Calls per download</t>
  </si>
  <si>
    <t xml:space="preserve">Example row: replace with real figures. 3 posts, 14 saves, 6 buyer comments, 4 DMs, 2 reached a question, 3 downloads, 1 call booked.</t>
  </si>
  <si>
    <t xml:space="preserve">Four weeks</t>
  </si>
  <si>
    <t xml:space="preserve">The four-week test</t>
  </si>
  <si>
    <t xml:space="preserve">Did the resource posts produce at least five real conversations (DMs that reached a question)?</t>
  </si>
</sst>
</file>

<file path=xl/styles.xml><?xml version="1.0" encoding="utf-8"?>
<styleSheet xmlns="http://schemas.openxmlformats.org/spreadsheetml/2006/main">
  <numFmts count="5">
    <numFmt numFmtId="164" formatCode="General"/>
    <numFmt numFmtId="165" formatCode="dd\ mmm\ yyyy"/>
    <numFmt numFmtId="166" formatCode="0%"/>
    <numFmt numFmtId="167" formatCode="#,##0"/>
    <numFmt numFmtId="168"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17211C"/>
      <name val="Arial"/>
      <family val="0"/>
      <charset val="1"/>
    </font>
    <font>
      <sz val="10"/>
      <color rgb="FF6B756F"/>
      <name val="Arial"/>
      <family val="0"/>
      <charset val="1"/>
    </font>
    <font>
      <b val="true"/>
      <sz val="10"/>
      <color rgb="FF17211C"/>
      <name val="Arial"/>
      <family val="0"/>
      <charset val="1"/>
    </font>
    <font>
      <sz val="10"/>
      <color rgb="FF17211C"/>
      <name val="Arial"/>
      <family val="0"/>
      <charset val="1"/>
    </font>
    <font>
      <b val="true"/>
      <sz val="10"/>
      <color rgb="FFFFFFFF"/>
      <name val="Arial"/>
      <family val="0"/>
      <charset val="1"/>
    </font>
    <font>
      <b val="true"/>
      <sz val="10"/>
      <name val="Arial"/>
      <family val="0"/>
      <charset val="1"/>
    </font>
    <font>
      <sz val="10"/>
      <name val="Arial"/>
      <family val="0"/>
      <charset val="1"/>
    </font>
    <font>
      <sz val="9"/>
      <color rgb="FF6B756F"/>
      <name val="Arial"/>
      <family val="0"/>
      <charset val="1"/>
    </font>
  </fonts>
  <fills count="5">
    <fill>
      <patternFill patternType="none"/>
    </fill>
    <fill>
      <patternFill patternType="gray125"/>
    </fill>
    <fill>
      <patternFill patternType="solid">
        <fgColor rgb="FF1F5A3E"/>
        <bgColor rgb="FF003366"/>
      </patternFill>
    </fill>
    <fill>
      <patternFill patternType="solid">
        <fgColor rgb="FFE3ECE6"/>
        <bgColor rgb="FFFFF2CC"/>
      </patternFill>
    </fill>
    <fill>
      <patternFill patternType="solid">
        <fgColor rgb="FFFFF2CC"/>
        <bgColor rgb="FFE3EC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5A3E"/>
          <bgColor rgb="FF000000"/>
        </patternFill>
      </fill>
    </dxf>
    <dxf>
      <fill>
        <patternFill patternType="solid">
          <fgColor rgb="FFE3ECE6"/>
          <bgColor rgb="FF000000"/>
        </patternFill>
      </fill>
    </dxf>
    <dxf>
      <fill>
        <patternFill patternType="solid">
          <bgColor rgb="FF000000"/>
        </patternFill>
      </fill>
    </dxf>
    <dxf>
      <fill>
        <patternFill patternType="solid">
          <fgColor rgb="FF17211C"/>
          <bgColor rgb="FF000000"/>
        </patternFill>
      </fill>
    </dxf>
    <dxf>
      <fill>
        <patternFill patternType="solid">
          <fgColor rgb="FFFFFFFF"/>
          <bgColor rgb="FF000000"/>
        </patternFill>
      </fill>
    </dxf>
    <dxf>
      <fill>
        <patternFill patternType="solid">
          <fgColor rgb="FFFFF2CC"/>
          <bgColor rgb="FF000000"/>
        </patternFill>
      </fill>
    </dxf>
    <dxf>
      <font>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6B756F"/>
      <rgbColor rgb="FF9999FF"/>
      <rgbColor rgb="FF993366"/>
      <rgbColor rgb="FFFFF2CC"/>
      <rgbColor rgb="FFE3EC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7211C"/>
      <rgbColor rgb="FF333300"/>
      <rgbColor rgb="FF993300"/>
      <rgbColor rgb="FF993366"/>
      <rgbColor rgb="FF333399"/>
      <rgbColor rgb="FF1F5A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35.05" hidden="false" customHeight="false" outlineLevel="0" collapsed="false">
      <c r="A5" s="3" t="s">
        <v>4</v>
      </c>
      <c r="B5" s="4" t="s">
        <v>5</v>
      </c>
    </row>
    <row r="6" customFormat="false" ht="23.85" hidden="false" customHeight="false" outlineLevel="0" collapsed="false">
      <c r="A6" s="3" t="s">
        <v>6</v>
      </c>
      <c r="B6" s="4" t="s">
        <v>7</v>
      </c>
    </row>
    <row r="7" customFormat="false" ht="23.85" hidden="false" customHeight="false" outlineLevel="0" collapsed="false">
      <c r="A7" s="3" t="s">
        <v>8</v>
      </c>
      <c r="B7" s="4" t="s">
        <v>9</v>
      </c>
    </row>
    <row r="8" customFormat="false" ht="23.85" hidden="false" customHeight="false" outlineLevel="0" collapsed="false">
      <c r="A8" s="3" t="s">
        <v>10</v>
      </c>
      <c r="B8" s="4" t="s">
        <v>11</v>
      </c>
    </row>
    <row r="9" customFormat="false" ht="15" hidden="false" customHeight="false" outlineLevel="0" collapsed="false">
      <c r="A9" s="3" t="s">
        <v>12</v>
      </c>
      <c r="B9" s="4" t="s">
        <v>13</v>
      </c>
    </row>
    <row r="10" customFormat="false" ht="23.85" hidden="false" customHeight="false" outlineLevel="0" collapsed="false">
      <c r="A10" s="3" t="s">
        <v>14</v>
      </c>
      <c r="B10" s="4" t="s">
        <v>15</v>
      </c>
    </row>
    <row r="11" customFormat="false" ht="35.05" hidden="false" customHeight="false" outlineLevel="0" collapsed="false">
      <c r="A11" s="3" t="s">
        <v>16</v>
      </c>
      <c r="B11" s="4" t="s">
        <v>17</v>
      </c>
    </row>
    <row r="12" customFormat="false" ht="15" hidden="false" customHeight="false" outlineLevel="0" collapsed="false">
      <c r="A12" s="3" t="s">
        <v>18</v>
      </c>
      <c r="B1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2"/>
    <col collapsed="false" customWidth="true" hidden="false" outlineLevel="0" max="3" min="3" style="0" width="16"/>
    <col collapsed="false" customWidth="true" hidden="false" outlineLevel="0" max="4" min="4" style="0" width="40"/>
    <col collapsed="false" customWidth="true" hidden="false" outlineLevel="0" max="5" min="5" style="0" width="55"/>
    <col collapsed="false" customWidth="true" hidden="false" outlineLevel="0" max="6" min="6" style="0" width="45"/>
    <col collapsed="false" customWidth="true" hidden="false" outlineLevel="0" max="7" min="7" style="0" width="30"/>
    <col collapsed="false" customWidth="true" hidden="false" outlineLevel="0" max="8" min="8" style="0" width="38"/>
  </cols>
  <sheetData>
    <row r="1" customFormat="false" ht="17.35" hidden="false" customHeight="false" outlineLevel="0" collapsed="false">
      <c r="A1" s="1" t="s">
        <v>20</v>
      </c>
    </row>
    <row r="3" customFormat="false" ht="23.85" hidden="false" customHeight="false" outlineLevel="0" collapsed="false">
      <c r="A3" s="5" t="s">
        <v>21</v>
      </c>
      <c r="B3" s="5" t="s">
        <v>22</v>
      </c>
      <c r="C3" s="5" t="s">
        <v>23</v>
      </c>
      <c r="D3" s="5" t="s">
        <v>24</v>
      </c>
      <c r="E3" s="5" t="s">
        <v>25</v>
      </c>
      <c r="F3" s="5" t="s">
        <v>26</v>
      </c>
      <c r="G3" s="5" t="s">
        <v>27</v>
      </c>
      <c r="H3" s="5" t="s">
        <v>28</v>
      </c>
    </row>
    <row r="4" customFormat="false" ht="120" hidden="false" customHeight="true" outlineLevel="0" collapsed="false">
      <c r="A4" s="4" t="s">
        <v>29</v>
      </c>
      <c r="B4" s="4" t="s">
        <v>30</v>
      </c>
      <c r="C4" s="4" t="s">
        <v>31</v>
      </c>
      <c r="D4" s="4" t="s">
        <v>32</v>
      </c>
      <c r="E4" s="4" t="s">
        <v>33</v>
      </c>
      <c r="F4" s="4" t="s">
        <v>34</v>
      </c>
      <c r="G4" s="4" t="s">
        <v>35</v>
      </c>
      <c r="H4" s="4" t="s">
        <v>36</v>
      </c>
    </row>
    <row r="5" customFormat="false" ht="120" hidden="false" customHeight="true" outlineLevel="0" collapsed="false">
      <c r="A5" s="4" t="s">
        <v>29</v>
      </c>
      <c r="B5" s="4" t="s">
        <v>37</v>
      </c>
      <c r="C5" s="4" t="s">
        <v>31</v>
      </c>
      <c r="D5" s="4" t="s">
        <v>38</v>
      </c>
      <c r="E5" s="4" t="s">
        <v>39</v>
      </c>
      <c r="F5" s="4" t="s">
        <v>40</v>
      </c>
      <c r="G5" s="4" t="s">
        <v>41</v>
      </c>
      <c r="H5" s="4" t="s">
        <v>42</v>
      </c>
    </row>
    <row r="6" customFormat="false" ht="120" hidden="false" customHeight="true" outlineLevel="0" collapsed="false">
      <c r="A6" s="4" t="s">
        <v>43</v>
      </c>
      <c r="B6" s="4" t="s">
        <v>44</v>
      </c>
      <c r="C6" s="4" t="s">
        <v>45</v>
      </c>
      <c r="D6" s="4" t="s">
        <v>46</v>
      </c>
      <c r="E6" s="4" t="s">
        <v>47</v>
      </c>
      <c r="F6" s="4" t="s">
        <v>48</v>
      </c>
      <c r="G6" s="4" t="s">
        <v>49</v>
      </c>
      <c r="H6" s="4" t="s">
        <v>50</v>
      </c>
    </row>
    <row r="7" customFormat="false" ht="120" hidden="false" customHeight="true" outlineLevel="0" collapsed="false">
      <c r="A7" s="4" t="s">
        <v>43</v>
      </c>
      <c r="B7" s="4" t="s">
        <v>51</v>
      </c>
      <c r="C7" s="4" t="s">
        <v>52</v>
      </c>
      <c r="D7" s="4" t="s">
        <v>53</v>
      </c>
      <c r="E7" s="4" t="s">
        <v>54</v>
      </c>
      <c r="F7" s="4" t="s">
        <v>55</v>
      </c>
      <c r="G7" s="4" t="s">
        <v>56</v>
      </c>
      <c r="H7" s="4" t="s">
        <v>57</v>
      </c>
    </row>
    <row r="8" customFormat="false" ht="120" hidden="false" customHeight="true" outlineLevel="0" collapsed="false">
      <c r="A8" s="4" t="s">
        <v>58</v>
      </c>
      <c r="B8" s="4" t="s">
        <v>59</v>
      </c>
      <c r="C8" s="4" t="s">
        <v>60</v>
      </c>
      <c r="D8" s="4" t="s">
        <v>61</v>
      </c>
      <c r="E8" s="4" t="s">
        <v>62</v>
      </c>
      <c r="F8" s="4" t="s">
        <v>63</v>
      </c>
      <c r="G8" s="4" t="s">
        <v>64</v>
      </c>
      <c r="H8" s="4" t="s">
        <v>65</v>
      </c>
    </row>
    <row r="10" customFormat="false" ht="15" hidden="false" customHeight="false" outlineLevel="0" collapsed="false">
      <c r="A10" s="6" t="s">
        <v>66</v>
      </c>
    </row>
    <row r="11" customFormat="false" ht="33.75" hidden="false" customHeight="true" outlineLevel="0" collapsed="false">
      <c r="A11" s="6" t="s">
        <v>67</v>
      </c>
      <c r="B11" s="7" t="s">
        <v>68</v>
      </c>
      <c r="C11" s="7"/>
      <c r="D11" s="7"/>
      <c r="E11" s="7"/>
    </row>
    <row r="12" customFormat="false" ht="33.75" hidden="false" customHeight="true" outlineLevel="0" collapsed="false">
      <c r="A12" s="6" t="s">
        <v>69</v>
      </c>
      <c r="B12" s="7" t="s">
        <v>70</v>
      </c>
      <c r="C12" s="7"/>
      <c r="D12" s="7"/>
      <c r="E12" s="7"/>
    </row>
    <row r="13" customFormat="false" ht="33.75" hidden="false" customHeight="true" outlineLevel="0" collapsed="false">
      <c r="A13" s="6" t="s">
        <v>71</v>
      </c>
      <c r="B13" s="7" t="s">
        <v>72</v>
      </c>
      <c r="C13" s="7"/>
      <c r="D13" s="7"/>
      <c r="E13" s="7"/>
    </row>
    <row r="14" customFormat="false" ht="33.75" hidden="false" customHeight="true" outlineLevel="0" collapsed="false">
      <c r="A14" s="6" t="s">
        <v>73</v>
      </c>
      <c r="B14" s="7" t="s">
        <v>74</v>
      </c>
      <c r="C14" s="7"/>
      <c r="D14" s="7"/>
      <c r="E14" s="7"/>
    </row>
  </sheetData>
  <mergeCells count="4">
    <mergeCell ref="B11:E11"/>
    <mergeCell ref="B12:E12"/>
    <mergeCell ref="B13:E13"/>
    <mergeCell ref="B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8"/>
    <col collapsed="false" customWidth="true" hidden="false" outlineLevel="0" max="3" min="3" style="0" width="44"/>
    <col collapsed="false" customWidth="true" hidden="false" outlineLevel="0" max="4" min="4" style="0" width="38"/>
    <col collapsed="false" customWidth="true" hidden="false" outlineLevel="0" max="5" min="5" style="0" width="40"/>
  </cols>
  <sheetData>
    <row r="1" customFormat="false" ht="17.35" hidden="false" customHeight="false" outlineLevel="0" collapsed="false">
      <c r="A1" s="1" t="s">
        <v>75</v>
      </c>
    </row>
    <row r="3" customFormat="false" ht="15" hidden="false" customHeight="false" outlineLevel="0" collapsed="false">
      <c r="A3" s="5" t="s">
        <v>76</v>
      </c>
      <c r="B3" s="5" t="s">
        <v>21</v>
      </c>
      <c r="C3" s="5" t="s">
        <v>77</v>
      </c>
      <c r="D3" s="5" t="s">
        <v>78</v>
      </c>
      <c r="E3" s="5" t="s">
        <v>79</v>
      </c>
    </row>
    <row r="4" customFormat="false" ht="23.85" hidden="false" customHeight="false" outlineLevel="0" collapsed="false">
      <c r="A4" s="4" t="s">
        <v>80</v>
      </c>
      <c r="B4" s="4" t="s">
        <v>81</v>
      </c>
      <c r="C4" s="4" t="s">
        <v>82</v>
      </c>
      <c r="D4" s="4" t="s">
        <v>83</v>
      </c>
      <c r="E4" s="4" t="s">
        <v>84</v>
      </c>
    </row>
    <row r="5" customFormat="false" ht="15" hidden="false" customHeight="false" outlineLevel="0" collapsed="false">
      <c r="A5" s="4" t="s">
        <v>85</v>
      </c>
      <c r="B5" s="4" t="s">
        <v>86</v>
      </c>
      <c r="C5" s="4" t="s">
        <v>87</v>
      </c>
      <c r="D5" s="4" t="s">
        <v>88</v>
      </c>
      <c r="E5" s="4" t="s">
        <v>89</v>
      </c>
    </row>
    <row r="6" customFormat="false" ht="15" hidden="false" customHeight="false" outlineLevel="0" collapsed="false">
      <c r="A6" s="4" t="s">
        <v>90</v>
      </c>
      <c r="B6" s="4" t="s">
        <v>91</v>
      </c>
      <c r="C6" s="4" t="s">
        <v>92</v>
      </c>
      <c r="D6" s="4" t="s">
        <v>93</v>
      </c>
      <c r="E6" s="4" t="s">
        <v>94</v>
      </c>
    </row>
    <row r="7" customFormat="false" ht="15" hidden="false" customHeight="false" outlineLevel="0" collapsed="false">
      <c r="A7" s="4" t="s">
        <v>95</v>
      </c>
      <c r="B7" s="4" t="s">
        <v>96</v>
      </c>
      <c r="C7" s="4" t="s">
        <v>97</v>
      </c>
      <c r="D7" s="4" t="s">
        <v>98</v>
      </c>
      <c r="E7" s="4" t="s">
        <v>99</v>
      </c>
    </row>
    <row r="8" customFormat="false" ht="23.85" hidden="false" customHeight="false" outlineLevel="0" collapsed="false">
      <c r="A8" s="4" t="s">
        <v>100</v>
      </c>
      <c r="B8" s="4" t="s">
        <v>101</v>
      </c>
      <c r="C8" s="4" t="s">
        <v>102</v>
      </c>
      <c r="D8" s="4" t="s">
        <v>103</v>
      </c>
      <c r="E8" s="4" t="s">
        <v>104</v>
      </c>
    </row>
    <row r="9" customFormat="false" ht="15" hidden="false" customHeight="false" outlineLevel="0" collapsed="false">
      <c r="A9" s="4" t="s">
        <v>105</v>
      </c>
      <c r="B9" s="4" t="s">
        <v>106</v>
      </c>
      <c r="C9" s="4" t="s">
        <v>107</v>
      </c>
      <c r="D9" s="4" t="s">
        <v>108</v>
      </c>
      <c r="E9" s="4" t="s">
        <v>109</v>
      </c>
    </row>
    <row r="11" customFormat="false" ht="15" hidden="false" customHeight="false" outlineLevel="0" collapsed="false">
      <c r="A11" s="2" t="s">
        <v>110</v>
      </c>
    </row>
    <row r="13" customFormat="false" ht="15" hidden="false" customHeight="false" outlineLevel="0" collapsed="false">
      <c r="A13" s="6" t="s">
        <v>111</v>
      </c>
    </row>
    <row r="14" customFormat="false" ht="31.5" hidden="false" customHeight="true" outlineLevel="0" collapsed="false">
      <c r="A14" s="0" t="s">
        <v>112</v>
      </c>
      <c r="B14" s="8" t="s">
        <v>113</v>
      </c>
      <c r="C14" s="8"/>
      <c r="D14" s="8"/>
      <c r="E14" s="8"/>
    </row>
    <row r="15" customFormat="false" ht="31.5" hidden="false" customHeight="true" outlineLevel="0" collapsed="false">
      <c r="A15" s="0" t="s">
        <v>114</v>
      </c>
      <c r="B15" s="8" t="s">
        <v>115</v>
      </c>
      <c r="C15" s="8"/>
      <c r="D15" s="8"/>
      <c r="E15" s="8"/>
    </row>
    <row r="16" customFormat="false" ht="31.5" hidden="false" customHeight="true" outlineLevel="0" collapsed="false">
      <c r="A16" s="0" t="s">
        <v>116</v>
      </c>
      <c r="B16" s="8" t="s">
        <v>117</v>
      </c>
      <c r="C16" s="8"/>
      <c r="D16" s="8"/>
      <c r="E16" s="8"/>
    </row>
    <row r="17" customFormat="false" ht="31.5" hidden="false" customHeight="true" outlineLevel="0" collapsed="false">
      <c r="A17" s="0" t="s">
        <v>118</v>
      </c>
      <c r="B17" s="8" t="s">
        <v>119</v>
      </c>
      <c r="C17" s="8"/>
      <c r="D17" s="8"/>
      <c r="E17" s="8"/>
    </row>
  </sheetData>
  <mergeCells count="4">
    <mergeCell ref="B14:E14"/>
    <mergeCell ref="B15:E15"/>
    <mergeCell ref="B16:E16"/>
    <mergeCell ref="B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7"/>
    <col collapsed="false" customWidth="true" hidden="false" outlineLevel="0" max="4" min="4" style="0" width="14"/>
    <col collapsed="false" customWidth="true" hidden="false" outlineLevel="0" max="5" min="5" style="0" width="10"/>
    <col collapsed="false" customWidth="true" hidden="false" outlineLevel="0" max="6" min="6" style="0" width="26"/>
    <col collapsed="false" customWidth="true" hidden="false" outlineLevel="0" max="7" min="7" style="0" width="6"/>
    <col collapsed="false" customWidth="true" hidden="false" outlineLevel="0" max="8" min="8" style="0" width="44"/>
    <col collapsed="false" customWidth="true" hidden="false" outlineLevel="0" max="9" min="9" style="0" width="50"/>
    <col collapsed="false" customWidth="true" hidden="false" outlineLevel="0" max="10" min="10" style="0" width="40"/>
    <col collapsed="false" customWidth="true" hidden="false" outlineLevel="0" max="11" min="11" style="0" width="22"/>
    <col collapsed="false" customWidth="true" hidden="false" outlineLevel="0" max="12" min="12" style="0" width="34"/>
    <col collapsed="false" customWidth="true" hidden="false" outlineLevel="0" max="13" min="13" style="0" width="30"/>
    <col collapsed="false" customWidth="true" hidden="false" outlineLevel="0" max="14" min="14" style="0" width="44"/>
    <col collapsed="false" customWidth="true" hidden="false" outlineLevel="0" max="15" min="15" style="0" width="36"/>
    <col collapsed="false" customWidth="true" hidden="false" outlineLevel="0" max="16" min="16" style="0" width="11"/>
    <col collapsed="false" customWidth="true" hidden="false" outlineLevel="0" max="17" min="17" style="0" width="44"/>
  </cols>
  <sheetData>
    <row r="1" customFormat="false" ht="17.35" hidden="false" customHeight="false" outlineLevel="0" collapsed="false">
      <c r="A1" s="1" t="s">
        <v>120</v>
      </c>
    </row>
    <row r="2" customFormat="false" ht="15" hidden="false" customHeight="false" outlineLevel="0" collapsed="false">
      <c r="A2" s="2" t="s">
        <v>121</v>
      </c>
    </row>
    <row r="3" customFormat="false" ht="15" hidden="false" customHeight="false" outlineLevel="0" collapsed="false">
      <c r="A3" s="5" t="s">
        <v>122</v>
      </c>
      <c r="B3" s="5" t="s">
        <v>123</v>
      </c>
      <c r="C3" s="5" t="s">
        <v>124</v>
      </c>
      <c r="D3" s="5" t="s">
        <v>125</v>
      </c>
      <c r="E3" s="5" t="s">
        <v>21</v>
      </c>
      <c r="F3" s="5" t="s">
        <v>22</v>
      </c>
      <c r="G3" s="5" t="s">
        <v>76</v>
      </c>
      <c r="H3" s="5" t="s">
        <v>126</v>
      </c>
      <c r="I3" s="5" t="s">
        <v>127</v>
      </c>
      <c r="J3" s="5" t="s">
        <v>128</v>
      </c>
      <c r="K3" s="5" t="s">
        <v>129</v>
      </c>
      <c r="L3" s="5" t="s">
        <v>130</v>
      </c>
      <c r="M3" s="5" t="s">
        <v>131</v>
      </c>
      <c r="N3" s="5" t="s">
        <v>132</v>
      </c>
      <c r="O3" s="5" t="s">
        <v>133</v>
      </c>
      <c r="P3" s="5" t="s">
        <v>134</v>
      </c>
      <c r="Q3" s="5" t="s">
        <v>135</v>
      </c>
    </row>
    <row r="4" customFormat="false" ht="63.75" hidden="false" customHeight="true" outlineLevel="0" collapsed="false">
      <c r="A4" s="9" t="n">
        <v>46293</v>
      </c>
      <c r="B4" s="4" t="s">
        <v>136</v>
      </c>
      <c r="C4" s="4" t="s">
        <v>137</v>
      </c>
      <c r="D4" s="4" t="s">
        <v>138</v>
      </c>
      <c r="E4" s="4" t="s">
        <v>29</v>
      </c>
      <c r="F4" s="4" t="s">
        <v>139</v>
      </c>
      <c r="G4" s="4" t="n">
        <v>2</v>
      </c>
      <c r="H4" s="4" t="s">
        <v>140</v>
      </c>
      <c r="I4" s="4" t="s">
        <v>141</v>
      </c>
      <c r="J4" s="4" t="s">
        <v>142</v>
      </c>
      <c r="K4" s="4" t="s">
        <v>143</v>
      </c>
      <c r="L4" s="4" t="s">
        <v>144</v>
      </c>
      <c r="M4" s="4" t="s">
        <v>145</v>
      </c>
      <c r="N4" s="4" t="s">
        <v>146</v>
      </c>
      <c r="O4" s="4" t="s">
        <v>147</v>
      </c>
      <c r="P4" s="4" t="s">
        <v>148</v>
      </c>
      <c r="Q4" s="4" t="s">
        <v>149</v>
      </c>
    </row>
    <row r="5" customFormat="false" ht="63.75" hidden="false" customHeight="true" outlineLevel="0" collapsed="false">
      <c r="A5" s="9" t="n">
        <v>46294</v>
      </c>
      <c r="B5" s="4" t="s">
        <v>150</v>
      </c>
      <c r="C5" s="4" t="s">
        <v>151</v>
      </c>
      <c r="D5" s="4" t="s">
        <v>152</v>
      </c>
      <c r="E5" s="4" t="s">
        <v>29</v>
      </c>
      <c r="F5" s="4" t="s">
        <v>153</v>
      </c>
      <c r="G5" s="4" t="n">
        <v>2</v>
      </c>
      <c r="H5" s="4" t="s">
        <v>154</v>
      </c>
      <c r="I5" s="4" t="s">
        <v>155</v>
      </c>
      <c r="J5" s="4" t="s">
        <v>156</v>
      </c>
      <c r="K5" s="4" t="s">
        <v>157</v>
      </c>
      <c r="L5" s="4" t="s">
        <v>158</v>
      </c>
      <c r="M5" s="4" t="s">
        <v>145</v>
      </c>
      <c r="N5" s="4" t="s">
        <v>159</v>
      </c>
      <c r="O5" s="4" t="s">
        <v>147</v>
      </c>
      <c r="P5" s="4" t="s">
        <v>148</v>
      </c>
      <c r="Q5" s="4" t="s">
        <v>160</v>
      </c>
    </row>
    <row r="6" customFormat="false" ht="63.75" hidden="false" customHeight="true" outlineLevel="0" collapsed="false">
      <c r="A6" s="9" t="n">
        <v>46294</v>
      </c>
      <c r="B6" s="4" t="s">
        <v>150</v>
      </c>
      <c r="C6" s="4" t="s">
        <v>137</v>
      </c>
      <c r="D6" s="4" t="s">
        <v>138</v>
      </c>
      <c r="E6" s="4" t="s">
        <v>29</v>
      </c>
      <c r="F6" s="4" t="s">
        <v>161</v>
      </c>
      <c r="G6" s="4" t="n">
        <v>2</v>
      </c>
      <c r="H6" s="4" t="s">
        <v>162</v>
      </c>
      <c r="I6" s="4" t="s">
        <v>163</v>
      </c>
      <c r="J6" s="4" t="s">
        <v>164</v>
      </c>
      <c r="K6" s="4" t="s">
        <v>165</v>
      </c>
      <c r="L6" s="4" t="s">
        <v>158</v>
      </c>
      <c r="M6" s="4" t="s">
        <v>145</v>
      </c>
      <c r="N6" s="4"/>
      <c r="O6" s="4" t="s">
        <v>147</v>
      </c>
      <c r="P6" s="4" t="s">
        <v>148</v>
      </c>
      <c r="Q6" s="4" t="s">
        <v>166</v>
      </c>
    </row>
    <row r="7" customFormat="false" ht="63.75" hidden="false" customHeight="true" outlineLevel="0" collapsed="false">
      <c r="A7" s="9" t="n">
        <v>46295</v>
      </c>
      <c r="B7" s="4" t="s">
        <v>167</v>
      </c>
      <c r="C7" s="4" t="s">
        <v>151</v>
      </c>
      <c r="D7" s="4" t="s">
        <v>152</v>
      </c>
      <c r="E7" s="4" t="s">
        <v>29</v>
      </c>
      <c r="F7" s="4" t="s">
        <v>168</v>
      </c>
      <c r="G7" s="4" t="n">
        <v>2</v>
      </c>
      <c r="H7" s="4" t="s">
        <v>169</v>
      </c>
      <c r="I7" s="4" t="s">
        <v>170</v>
      </c>
      <c r="J7" s="4" t="s">
        <v>171</v>
      </c>
      <c r="K7" s="4" t="s">
        <v>172</v>
      </c>
      <c r="L7" s="4" t="s">
        <v>173</v>
      </c>
      <c r="M7" s="4" t="s">
        <v>145</v>
      </c>
      <c r="N7" s="4" t="s">
        <v>174</v>
      </c>
      <c r="O7" s="4" t="s">
        <v>147</v>
      </c>
      <c r="P7" s="4" t="s">
        <v>148</v>
      </c>
      <c r="Q7" s="4"/>
    </row>
    <row r="8" customFormat="false" ht="63.75" hidden="false" customHeight="true" outlineLevel="0" collapsed="false">
      <c r="A8" s="9" t="n">
        <v>46295</v>
      </c>
      <c r="B8" s="4" t="s">
        <v>167</v>
      </c>
      <c r="C8" s="4" t="s">
        <v>137</v>
      </c>
      <c r="D8" s="4" t="s">
        <v>138</v>
      </c>
      <c r="E8" s="4" t="s">
        <v>29</v>
      </c>
      <c r="F8" s="4" t="s">
        <v>175</v>
      </c>
      <c r="G8" s="4" t="n">
        <v>2</v>
      </c>
      <c r="H8" s="4" t="s">
        <v>176</v>
      </c>
      <c r="I8" s="4" t="s">
        <v>177</v>
      </c>
      <c r="J8" s="4" t="s">
        <v>164</v>
      </c>
      <c r="K8" s="4" t="s">
        <v>165</v>
      </c>
      <c r="L8" s="4" t="s">
        <v>173</v>
      </c>
      <c r="M8" s="4" t="s">
        <v>145</v>
      </c>
      <c r="N8" s="4"/>
      <c r="O8" s="4" t="s">
        <v>147</v>
      </c>
      <c r="P8" s="4" t="s">
        <v>148</v>
      </c>
      <c r="Q8" s="4" t="s">
        <v>178</v>
      </c>
    </row>
    <row r="9" customFormat="false" ht="63.75" hidden="false" customHeight="true" outlineLevel="0" collapsed="false">
      <c r="A9" s="10" t="n">
        <v>46296</v>
      </c>
      <c r="B9" s="11" t="s">
        <v>179</v>
      </c>
      <c r="C9" s="11" t="s">
        <v>151</v>
      </c>
      <c r="D9" s="11" t="s">
        <v>152</v>
      </c>
      <c r="E9" s="11" t="s">
        <v>58</v>
      </c>
      <c r="F9" s="11" t="s">
        <v>180</v>
      </c>
      <c r="G9" s="11" t="n">
        <v>3</v>
      </c>
      <c r="H9" s="11" t="s">
        <v>181</v>
      </c>
      <c r="I9" s="11" t="s">
        <v>182</v>
      </c>
      <c r="J9" s="11" t="s">
        <v>183</v>
      </c>
      <c r="K9" s="11" t="s">
        <v>184</v>
      </c>
      <c r="L9" s="11" t="s">
        <v>185</v>
      </c>
      <c r="M9" s="11" t="s">
        <v>186</v>
      </c>
      <c r="N9" s="11" t="s">
        <v>187</v>
      </c>
      <c r="O9" s="12" t="s">
        <v>188</v>
      </c>
      <c r="P9" s="11" t="s">
        <v>148</v>
      </c>
      <c r="Q9" s="11" t="s">
        <v>189</v>
      </c>
    </row>
    <row r="10" customFormat="false" ht="63.75" hidden="false" customHeight="true" outlineLevel="0" collapsed="false">
      <c r="A10" s="9" t="n">
        <v>46296</v>
      </c>
      <c r="B10" s="4" t="s">
        <v>179</v>
      </c>
      <c r="C10" s="4"/>
      <c r="D10" s="4" t="s">
        <v>152</v>
      </c>
      <c r="E10" s="4" t="s">
        <v>43</v>
      </c>
      <c r="F10" s="4" t="s">
        <v>190</v>
      </c>
      <c r="G10" s="4" t="n">
        <v>1</v>
      </c>
      <c r="H10" s="4" t="s">
        <v>191</v>
      </c>
      <c r="I10" s="4" t="s">
        <v>192</v>
      </c>
      <c r="J10" s="4" t="s">
        <v>193</v>
      </c>
      <c r="K10" s="4" t="s">
        <v>194</v>
      </c>
      <c r="L10" s="4" t="s">
        <v>195</v>
      </c>
      <c r="M10" s="4" t="s">
        <v>145</v>
      </c>
      <c r="N10" s="4" t="s">
        <v>196</v>
      </c>
      <c r="O10" s="4" t="s">
        <v>147</v>
      </c>
      <c r="P10" s="4" t="s">
        <v>197</v>
      </c>
      <c r="Q10" s="4" t="s">
        <v>198</v>
      </c>
    </row>
    <row r="11" customFormat="false" ht="63.75" hidden="false" customHeight="true" outlineLevel="0" collapsed="false">
      <c r="A11" s="9" t="n">
        <v>46296</v>
      </c>
      <c r="B11" s="4" t="s">
        <v>179</v>
      </c>
      <c r="C11" s="4" t="s">
        <v>137</v>
      </c>
      <c r="D11" s="4" t="s">
        <v>138</v>
      </c>
      <c r="E11" s="4" t="s">
        <v>29</v>
      </c>
      <c r="F11" s="4" t="s">
        <v>199</v>
      </c>
      <c r="G11" s="4" t="n">
        <v>2</v>
      </c>
      <c r="H11" s="4" t="s">
        <v>200</v>
      </c>
      <c r="I11" s="4" t="s">
        <v>201</v>
      </c>
      <c r="J11" s="4" t="s">
        <v>202</v>
      </c>
      <c r="K11" s="4" t="s">
        <v>203</v>
      </c>
      <c r="L11" s="4" t="s">
        <v>204</v>
      </c>
      <c r="M11" s="4" t="s">
        <v>145</v>
      </c>
      <c r="N11" s="4" t="s">
        <v>205</v>
      </c>
      <c r="O11" s="4" t="s">
        <v>147</v>
      </c>
      <c r="P11" s="4" t="s">
        <v>148</v>
      </c>
      <c r="Q11" s="4" t="s">
        <v>206</v>
      </c>
    </row>
    <row r="12" customFormat="false" ht="63.75" hidden="false" customHeight="true" outlineLevel="0" collapsed="false">
      <c r="A12" s="9" t="n">
        <v>46297</v>
      </c>
      <c r="B12" s="4" t="s">
        <v>207</v>
      </c>
      <c r="C12" s="4" t="s">
        <v>137</v>
      </c>
      <c r="D12" s="4" t="s">
        <v>138</v>
      </c>
      <c r="E12" s="4" t="s">
        <v>29</v>
      </c>
      <c r="F12" s="4" t="s">
        <v>208</v>
      </c>
      <c r="G12" s="4" t="n">
        <v>2</v>
      </c>
      <c r="H12" s="4" t="s">
        <v>209</v>
      </c>
      <c r="I12" s="4" t="s">
        <v>210</v>
      </c>
      <c r="J12" s="4" t="s">
        <v>211</v>
      </c>
      <c r="K12" s="4" t="s">
        <v>212</v>
      </c>
      <c r="L12" s="4" t="s">
        <v>213</v>
      </c>
      <c r="M12" s="4" t="s">
        <v>145</v>
      </c>
      <c r="N12" s="4" t="s">
        <v>214</v>
      </c>
      <c r="O12" s="4" t="s">
        <v>147</v>
      </c>
      <c r="P12" s="4" t="s">
        <v>148</v>
      </c>
      <c r="Q12" s="4" t="s">
        <v>215</v>
      </c>
    </row>
    <row r="13" customFormat="false" ht="63.75" hidden="false" customHeight="true" outlineLevel="0" collapsed="false">
      <c r="A13" s="9" t="n">
        <v>46298</v>
      </c>
      <c r="B13" s="4" t="s">
        <v>216</v>
      </c>
      <c r="C13" s="4" t="s">
        <v>217</v>
      </c>
      <c r="D13" s="4" t="s">
        <v>218</v>
      </c>
      <c r="E13" s="4" t="s">
        <v>43</v>
      </c>
      <c r="F13" s="4" t="s">
        <v>219</v>
      </c>
      <c r="G13" s="4" t="n">
        <v>1</v>
      </c>
      <c r="H13" s="4" t="s">
        <v>220</v>
      </c>
      <c r="I13" s="4" t="s">
        <v>221</v>
      </c>
      <c r="J13" s="4" t="s">
        <v>222</v>
      </c>
      <c r="K13" s="4" t="s">
        <v>223</v>
      </c>
      <c r="L13" s="4" t="s">
        <v>224</v>
      </c>
      <c r="M13" s="4" t="s">
        <v>145</v>
      </c>
      <c r="N13" s="4" t="s">
        <v>225</v>
      </c>
      <c r="O13" s="12" t="s">
        <v>226</v>
      </c>
      <c r="P13" s="4" t="s">
        <v>197</v>
      </c>
      <c r="Q13" s="4" t="s">
        <v>227</v>
      </c>
    </row>
    <row r="14" customFormat="false" ht="63.75" hidden="false" customHeight="true" outlineLevel="0" collapsed="false">
      <c r="A14" s="9" t="n">
        <v>46300</v>
      </c>
      <c r="B14" s="4" t="s">
        <v>136</v>
      </c>
      <c r="C14" s="4" t="s">
        <v>137</v>
      </c>
      <c r="D14" s="4" t="s">
        <v>138</v>
      </c>
      <c r="E14" s="4" t="s">
        <v>29</v>
      </c>
      <c r="F14" s="4" t="s">
        <v>139</v>
      </c>
      <c r="G14" s="4" t="n">
        <v>2</v>
      </c>
      <c r="H14" s="4" t="s">
        <v>228</v>
      </c>
      <c r="I14" s="4" t="s">
        <v>229</v>
      </c>
      <c r="J14" s="4" t="s">
        <v>230</v>
      </c>
      <c r="K14" s="4" t="s">
        <v>231</v>
      </c>
      <c r="L14" s="4" t="s">
        <v>204</v>
      </c>
      <c r="M14" s="4" t="s">
        <v>145</v>
      </c>
      <c r="N14" s="4" t="s">
        <v>232</v>
      </c>
      <c r="O14" s="12" t="s">
        <v>233</v>
      </c>
      <c r="P14" s="4" t="s">
        <v>148</v>
      </c>
      <c r="Q14" s="4" t="s">
        <v>234</v>
      </c>
    </row>
    <row r="15" customFormat="false" ht="63.75" hidden="false" customHeight="true" outlineLevel="0" collapsed="false">
      <c r="A15" s="9" t="n">
        <v>46301</v>
      </c>
      <c r="B15" s="4" t="s">
        <v>150</v>
      </c>
      <c r="C15" s="4" t="s">
        <v>151</v>
      </c>
      <c r="D15" s="4" t="s">
        <v>152</v>
      </c>
      <c r="E15" s="4" t="s">
        <v>29</v>
      </c>
      <c r="F15" s="4" t="s">
        <v>235</v>
      </c>
      <c r="G15" s="4" t="n">
        <v>2</v>
      </c>
      <c r="H15" s="4" t="s">
        <v>236</v>
      </c>
      <c r="I15" s="4" t="s">
        <v>237</v>
      </c>
      <c r="J15" s="4" t="s">
        <v>238</v>
      </c>
      <c r="K15" s="4" t="s">
        <v>239</v>
      </c>
      <c r="L15" s="4" t="s">
        <v>240</v>
      </c>
      <c r="M15" s="4" t="s">
        <v>145</v>
      </c>
      <c r="N15" s="4" t="s">
        <v>241</v>
      </c>
      <c r="O15" s="4" t="s">
        <v>147</v>
      </c>
      <c r="P15" s="4" t="s">
        <v>148</v>
      </c>
      <c r="Q15" s="4" t="s">
        <v>242</v>
      </c>
    </row>
    <row r="16" customFormat="false" ht="63.75" hidden="false" customHeight="true" outlineLevel="0" collapsed="false">
      <c r="A16" s="9" t="n">
        <v>46301</v>
      </c>
      <c r="B16" s="4" t="s">
        <v>150</v>
      </c>
      <c r="C16" s="4" t="s">
        <v>137</v>
      </c>
      <c r="D16" s="4" t="s">
        <v>138</v>
      </c>
      <c r="E16" s="4" t="s">
        <v>29</v>
      </c>
      <c r="F16" s="4" t="s">
        <v>161</v>
      </c>
      <c r="G16" s="4" t="n">
        <v>2</v>
      </c>
      <c r="H16" s="4" t="s">
        <v>243</v>
      </c>
      <c r="I16" s="4" t="s">
        <v>244</v>
      </c>
      <c r="J16" s="4" t="s">
        <v>245</v>
      </c>
      <c r="K16" s="4" t="s">
        <v>165</v>
      </c>
      <c r="L16" s="4" t="s">
        <v>240</v>
      </c>
      <c r="M16" s="4" t="s">
        <v>145</v>
      </c>
      <c r="N16" s="4"/>
      <c r="O16" s="4" t="s">
        <v>147</v>
      </c>
      <c r="P16" s="4" t="s">
        <v>148</v>
      </c>
      <c r="Q16" s="4"/>
    </row>
    <row r="17" customFormat="false" ht="63.75" hidden="false" customHeight="true" outlineLevel="0" collapsed="false">
      <c r="A17" s="9" t="n">
        <v>46302</v>
      </c>
      <c r="B17" s="4" t="s">
        <v>167</v>
      </c>
      <c r="C17" s="4" t="s">
        <v>151</v>
      </c>
      <c r="D17" s="4" t="s">
        <v>152</v>
      </c>
      <c r="E17" s="4" t="s">
        <v>29</v>
      </c>
      <c r="F17" s="4" t="s">
        <v>168</v>
      </c>
      <c r="G17" s="4" t="n">
        <v>2</v>
      </c>
      <c r="H17" s="4" t="s">
        <v>246</v>
      </c>
      <c r="I17" s="4" t="s">
        <v>247</v>
      </c>
      <c r="J17" s="4" t="s">
        <v>248</v>
      </c>
      <c r="K17" s="4" t="s">
        <v>172</v>
      </c>
      <c r="L17" s="4" t="s">
        <v>249</v>
      </c>
      <c r="M17" s="4" t="s">
        <v>145</v>
      </c>
      <c r="N17" s="4" t="s">
        <v>250</v>
      </c>
      <c r="O17" s="4" t="s">
        <v>147</v>
      </c>
      <c r="P17" s="4" t="s">
        <v>148</v>
      </c>
      <c r="Q17" s="4"/>
    </row>
    <row r="18" customFormat="false" ht="63.75" hidden="false" customHeight="true" outlineLevel="0" collapsed="false">
      <c r="A18" s="9" t="n">
        <v>46302</v>
      </c>
      <c r="B18" s="4" t="s">
        <v>167</v>
      </c>
      <c r="C18" s="4" t="s">
        <v>137</v>
      </c>
      <c r="D18" s="4" t="s">
        <v>138</v>
      </c>
      <c r="E18" s="4" t="s">
        <v>29</v>
      </c>
      <c r="F18" s="4" t="s">
        <v>175</v>
      </c>
      <c r="G18" s="4" t="n">
        <v>2</v>
      </c>
      <c r="H18" s="4" t="s">
        <v>251</v>
      </c>
      <c r="I18" s="4" t="s">
        <v>252</v>
      </c>
      <c r="J18" s="4" t="s">
        <v>245</v>
      </c>
      <c r="K18" s="4" t="s">
        <v>165</v>
      </c>
      <c r="L18" s="4" t="s">
        <v>249</v>
      </c>
      <c r="M18" s="4" t="s">
        <v>145</v>
      </c>
      <c r="N18" s="4"/>
      <c r="O18" s="4" t="s">
        <v>147</v>
      </c>
      <c r="P18" s="4" t="s">
        <v>148</v>
      </c>
      <c r="Q18" s="4"/>
    </row>
    <row r="19" customFormat="false" ht="63.75" hidden="false" customHeight="true" outlineLevel="0" collapsed="false">
      <c r="A19" s="9" t="n">
        <v>46303</v>
      </c>
      <c r="B19" s="4" t="s">
        <v>179</v>
      </c>
      <c r="C19" s="4" t="s">
        <v>151</v>
      </c>
      <c r="D19" s="4" t="s">
        <v>152</v>
      </c>
      <c r="E19" s="4" t="s">
        <v>43</v>
      </c>
      <c r="F19" s="4" t="s">
        <v>253</v>
      </c>
      <c r="G19" s="4" t="n">
        <v>1</v>
      </c>
      <c r="H19" s="12" t="s">
        <v>254</v>
      </c>
      <c r="I19" s="4" t="s">
        <v>255</v>
      </c>
      <c r="J19" s="4" t="s">
        <v>256</v>
      </c>
      <c r="K19" s="4" t="s">
        <v>257</v>
      </c>
      <c r="L19" s="4" t="s">
        <v>258</v>
      </c>
      <c r="M19" s="4" t="s">
        <v>145</v>
      </c>
      <c r="N19" s="4" t="s">
        <v>259</v>
      </c>
      <c r="O19" s="12" t="s">
        <v>260</v>
      </c>
      <c r="P19" s="4" t="s">
        <v>148</v>
      </c>
      <c r="Q19" s="4" t="s">
        <v>261</v>
      </c>
    </row>
    <row r="20" customFormat="false" ht="63.75" hidden="false" customHeight="true" outlineLevel="0" collapsed="false">
      <c r="A20" s="9" t="n">
        <v>46303</v>
      </c>
      <c r="B20" s="4" t="s">
        <v>179</v>
      </c>
      <c r="C20" s="4" t="s">
        <v>137</v>
      </c>
      <c r="D20" s="4" t="s">
        <v>138</v>
      </c>
      <c r="E20" s="4" t="s">
        <v>29</v>
      </c>
      <c r="F20" s="4" t="s">
        <v>199</v>
      </c>
      <c r="G20" s="4" t="n">
        <v>2</v>
      </c>
      <c r="H20" s="12" t="s">
        <v>262</v>
      </c>
      <c r="I20" s="4"/>
      <c r="J20" s="4" t="s">
        <v>263</v>
      </c>
      <c r="K20" s="4" t="s">
        <v>264</v>
      </c>
      <c r="L20" s="4" t="s">
        <v>204</v>
      </c>
      <c r="M20" s="4" t="s">
        <v>145</v>
      </c>
      <c r="N20" s="4"/>
      <c r="O20" s="4" t="s">
        <v>147</v>
      </c>
      <c r="P20" s="4" t="s">
        <v>148</v>
      </c>
      <c r="Q20" s="4"/>
    </row>
    <row r="21" customFormat="false" ht="63.75" hidden="false" customHeight="true" outlineLevel="0" collapsed="false">
      <c r="A21" s="9" t="n">
        <v>46304</v>
      </c>
      <c r="B21" s="4" t="s">
        <v>207</v>
      </c>
      <c r="C21" s="4" t="s">
        <v>137</v>
      </c>
      <c r="D21" s="4" t="s">
        <v>138</v>
      </c>
      <c r="E21" s="4" t="s">
        <v>29</v>
      </c>
      <c r="F21" s="4" t="s">
        <v>208</v>
      </c>
      <c r="G21" s="4" t="n">
        <v>2</v>
      </c>
      <c r="H21" s="12" t="s">
        <v>265</v>
      </c>
      <c r="I21" s="4"/>
      <c r="J21" s="4" t="s">
        <v>266</v>
      </c>
      <c r="K21" s="4" t="s">
        <v>267</v>
      </c>
      <c r="L21" s="4" t="s">
        <v>268</v>
      </c>
      <c r="M21" s="4" t="s">
        <v>145</v>
      </c>
      <c r="N21" s="4"/>
      <c r="O21" s="4" t="s">
        <v>147</v>
      </c>
      <c r="P21" s="4" t="s">
        <v>148</v>
      </c>
      <c r="Q21" s="4"/>
    </row>
    <row r="22" customFormat="false" ht="63.75" hidden="false" customHeight="true" outlineLevel="0" collapsed="false">
      <c r="A22" s="9" t="n">
        <v>46305</v>
      </c>
      <c r="B22" s="4" t="s">
        <v>216</v>
      </c>
      <c r="C22" s="4" t="s">
        <v>217</v>
      </c>
      <c r="D22" s="4" t="s">
        <v>218</v>
      </c>
      <c r="E22" s="4" t="s">
        <v>43</v>
      </c>
      <c r="F22" s="4" t="s">
        <v>269</v>
      </c>
      <c r="G22" s="4" t="n">
        <v>1</v>
      </c>
      <c r="H22" s="12" t="s">
        <v>270</v>
      </c>
      <c r="I22" s="4" t="s">
        <v>271</v>
      </c>
      <c r="J22" s="4" t="s">
        <v>272</v>
      </c>
      <c r="K22" s="4" t="s">
        <v>273</v>
      </c>
      <c r="L22" s="4" t="s">
        <v>145</v>
      </c>
      <c r="M22" s="4" t="s">
        <v>145</v>
      </c>
      <c r="N22" s="4" t="s">
        <v>274</v>
      </c>
      <c r="O22" s="12" t="s">
        <v>275</v>
      </c>
      <c r="P22" s="4" t="s">
        <v>197</v>
      </c>
      <c r="Q22" s="4" t="s">
        <v>276</v>
      </c>
    </row>
    <row r="23" customFormat="false" ht="63.75" hidden="false" customHeight="true" outlineLevel="0" collapsed="false">
      <c r="A23" s="9" t="n">
        <v>46307</v>
      </c>
      <c r="B23" s="4" t="s">
        <v>136</v>
      </c>
      <c r="C23" s="4" t="s">
        <v>137</v>
      </c>
      <c r="D23" s="4" t="s">
        <v>138</v>
      </c>
      <c r="E23" s="4" t="s">
        <v>29</v>
      </c>
      <c r="F23" s="4" t="s">
        <v>139</v>
      </c>
      <c r="G23" s="4" t="n">
        <v>2</v>
      </c>
      <c r="H23" s="12" t="s">
        <v>277</v>
      </c>
      <c r="I23" s="4"/>
      <c r="J23" s="4" t="s">
        <v>278</v>
      </c>
      <c r="K23" s="4" t="s">
        <v>279</v>
      </c>
      <c r="L23" s="4" t="s">
        <v>204</v>
      </c>
      <c r="M23" s="4" t="s">
        <v>145</v>
      </c>
      <c r="N23" s="4"/>
      <c r="O23" s="12" t="s">
        <v>280</v>
      </c>
      <c r="P23" s="4" t="s">
        <v>148</v>
      </c>
      <c r="Q23" s="4"/>
    </row>
    <row r="24" customFormat="false" ht="63.75" hidden="false" customHeight="true" outlineLevel="0" collapsed="false">
      <c r="A24" s="9" t="n">
        <v>46308</v>
      </c>
      <c r="B24" s="4" t="s">
        <v>150</v>
      </c>
      <c r="C24" s="4" t="s">
        <v>151</v>
      </c>
      <c r="D24" s="4" t="s">
        <v>152</v>
      </c>
      <c r="E24" s="4" t="s">
        <v>29</v>
      </c>
      <c r="F24" s="4" t="s">
        <v>281</v>
      </c>
      <c r="G24" s="4" t="n">
        <v>2</v>
      </c>
      <c r="H24" s="4" t="s">
        <v>282</v>
      </c>
      <c r="I24" s="4" t="s">
        <v>283</v>
      </c>
      <c r="J24" s="4" t="s">
        <v>284</v>
      </c>
      <c r="K24" s="4" t="s">
        <v>285</v>
      </c>
      <c r="L24" s="4" t="s">
        <v>286</v>
      </c>
      <c r="M24" s="4" t="s">
        <v>145</v>
      </c>
      <c r="N24" s="4" t="s">
        <v>287</v>
      </c>
      <c r="O24" s="12" t="s">
        <v>288</v>
      </c>
      <c r="P24" s="4" t="s">
        <v>148</v>
      </c>
      <c r="Q24" s="4" t="s">
        <v>289</v>
      </c>
    </row>
    <row r="25" customFormat="false" ht="63.75" hidden="false" customHeight="true" outlineLevel="0" collapsed="false">
      <c r="A25" s="9" t="n">
        <v>46308</v>
      </c>
      <c r="B25" s="4" t="s">
        <v>150</v>
      </c>
      <c r="C25" s="4" t="s">
        <v>137</v>
      </c>
      <c r="D25" s="4" t="s">
        <v>138</v>
      </c>
      <c r="E25" s="4" t="s">
        <v>29</v>
      </c>
      <c r="F25" s="4" t="s">
        <v>161</v>
      </c>
      <c r="G25" s="4" t="n">
        <v>2</v>
      </c>
      <c r="H25" s="4" t="s">
        <v>290</v>
      </c>
      <c r="I25" s="4" t="s">
        <v>291</v>
      </c>
      <c r="J25" s="4" t="s">
        <v>245</v>
      </c>
      <c r="K25" s="4" t="s">
        <v>292</v>
      </c>
      <c r="L25" s="4" t="s">
        <v>286</v>
      </c>
      <c r="M25" s="4" t="s">
        <v>145</v>
      </c>
      <c r="N25" s="4"/>
      <c r="O25" s="4" t="s">
        <v>147</v>
      </c>
      <c r="P25" s="4" t="s">
        <v>148</v>
      </c>
      <c r="Q25" s="4"/>
    </row>
    <row r="26" customFormat="false" ht="63.75" hidden="false" customHeight="true" outlineLevel="0" collapsed="false">
      <c r="A26" s="9" t="n">
        <v>46309</v>
      </c>
      <c r="B26" s="4" t="s">
        <v>167</v>
      </c>
      <c r="C26" s="4" t="s">
        <v>151</v>
      </c>
      <c r="D26" s="4" t="s">
        <v>152</v>
      </c>
      <c r="E26" s="4" t="s">
        <v>29</v>
      </c>
      <c r="F26" s="4" t="s">
        <v>168</v>
      </c>
      <c r="G26" s="4" t="n">
        <v>2</v>
      </c>
      <c r="H26" s="4" t="s">
        <v>293</v>
      </c>
      <c r="I26" s="4" t="s">
        <v>294</v>
      </c>
      <c r="J26" s="4" t="s">
        <v>295</v>
      </c>
      <c r="K26" s="4" t="s">
        <v>172</v>
      </c>
      <c r="L26" s="4" t="s">
        <v>296</v>
      </c>
      <c r="M26" s="4" t="s">
        <v>145</v>
      </c>
      <c r="N26" s="4" t="s">
        <v>297</v>
      </c>
      <c r="O26" s="4" t="s">
        <v>147</v>
      </c>
      <c r="P26" s="4" t="s">
        <v>148</v>
      </c>
      <c r="Q26" s="4" t="s">
        <v>298</v>
      </c>
    </row>
    <row r="27" customFormat="false" ht="63.75" hidden="false" customHeight="true" outlineLevel="0" collapsed="false">
      <c r="A27" s="9" t="n">
        <v>46309</v>
      </c>
      <c r="B27" s="4" t="s">
        <v>167</v>
      </c>
      <c r="C27" s="4" t="s">
        <v>137</v>
      </c>
      <c r="D27" s="4" t="s">
        <v>138</v>
      </c>
      <c r="E27" s="4" t="s">
        <v>29</v>
      </c>
      <c r="F27" s="4" t="s">
        <v>175</v>
      </c>
      <c r="G27" s="4" t="n">
        <v>2</v>
      </c>
      <c r="H27" s="4" t="s">
        <v>299</v>
      </c>
      <c r="I27" s="4" t="s">
        <v>252</v>
      </c>
      <c r="J27" s="4" t="s">
        <v>245</v>
      </c>
      <c r="K27" s="4" t="s">
        <v>165</v>
      </c>
      <c r="L27" s="4" t="s">
        <v>296</v>
      </c>
      <c r="M27" s="4" t="s">
        <v>145</v>
      </c>
      <c r="N27" s="4"/>
      <c r="O27" s="4" t="s">
        <v>147</v>
      </c>
      <c r="P27" s="4" t="s">
        <v>148</v>
      </c>
      <c r="Q27" s="4"/>
    </row>
    <row r="28" customFormat="false" ht="63.75" hidden="false" customHeight="true" outlineLevel="0" collapsed="false">
      <c r="A28" s="10" t="n">
        <v>46310</v>
      </c>
      <c r="B28" s="11" t="s">
        <v>179</v>
      </c>
      <c r="C28" s="11" t="s">
        <v>151</v>
      </c>
      <c r="D28" s="11" t="s">
        <v>152</v>
      </c>
      <c r="E28" s="11" t="s">
        <v>58</v>
      </c>
      <c r="F28" s="11" t="s">
        <v>300</v>
      </c>
      <c r="G28" s="11" t="n">
        <v>3</v>
      </c>
      <c r="H28" s="11" t="s">
        <v>301</v>
      </c>
      <c r="I28" s="11" t="s">
        <v>302</v>
      </c>
      <c r="J28" s="11" t="s">
        <v>303</v>
      </c>
      <c r="K28" s="11" t="s">
        <v>304</v>
      </c>
      <c r="L28" s="11" t="s">
        <v>204</v>
      </c>
      <c r="M28" s="11" t="s">
        <v>305</v>
      </c>
      <c r="N28" s="11" t="s">
        <v>306</v>
      </c>
      <c r="O28" s="12" t="s">
        <v>307</v>
      </c>
      <c r="P28" s="11" t="s">
        <v>148</v>
      </c>
      <c r="Q28" s="11" t="s">
        <v>308</v>
      </c>
    </row>
    <row r="29" customFormat="false" ht="63.75" hidden="false" customHeight="true" outlineLevel="0" collapsed="false">
      <c r="A29" s="9" t="n">
        <v>46310</v>
      </c>
      <c r="B29" s="4" t="s">
        <v>179</v>
      </c>
      <c r="C29" s="4" t="s">
        <v>137</v>
      </c>
      <c r="D29" s="4" t="s">
        <v>138</v>
      </c>
      <c r="E29" s="4" t="s">
        <v>29</v>
      </c>
      <c r="F29" s="4" t="s">
        <v>199</v>
      </c>
      <c r="G29" s="4" t="n">
        <v>2</v>
      </c>
      <c r="H29" s="12" t="s">
        <v>309</v>
      </c>
      <c r="I29" s="4"/>
      <c r="J29" s="4" t="s">
        <v>263</v>
      </c>
      <c r="K29" s="4" t="s">
        <v>264</v>
      </c>
      <c r="L29" s="4" t="s">
        <v>204</v>
      </c>
      <c r="M29" s="4" t="s">
        <v>145</v>
      </c>
      <c r="N29" s="4"/>
      <c r="O29" s="4" t="s">
        <v>147</v>
      </c>
      <c r="P29" s="4" t="s">
        <v>148</v>
      </c>
      <c r="Q29" s="4"/>
    </row>
    <row r="30" customFormat="false" ht="63.75" hidden="false" customHeight="true" outlineLevel="0" collapsed="false">
      <c r="A30" s="9" t="n">
        <v>46311</v>
      </c>
      <c r="B30" s="4" t="s">
        <v>207</v>
      </c>
      <c r="C30" s="4" t="s">
        <v>137</v>
      </c>
      <c r="D30" s="4" t="s">
        <v>138</v>
      </c>
      <c r="E30" s="4" t="s">
        <v>29</v>
      </c>
      <c r="F30" s="4" t="s">
        <v>208</v>
      </c>
      <c r="G30" s="4" t="n">
        <v>2</v>
      </c>
      <c r="H30" s="12" t="s">
        <v>309</v>
      </c>
      <c r="I30" s="4"/>
      <c r="J30" s="4" t="s">
        <v>310</v>
      </c>
      <c r="K30" s="4" t="s">
        <v>267</v>
      </c>
      <c r="L30" s="4" t="s">
        <v>204</v>
      </c>
      <c r="M30" s="4" t="s">
        <v>145</v>
      </c>
      <c r="N30" s="4"/>
      <c r="O30" s="4" t="s">
        <v>147</v>
      </c>
      <c r="P30" s="4" t="s">
        <v>148</v>
      </c>
      <c r="Q30" s="4"/>
    </row>
    <row r="31" customFormat="false" ht="63.75" hidden="false" customHeight="true" outlineLevel="0" collapsed="false">
      <c r="A31" s="9" t="n">
        <v>46312</v>
      </c>
      <c r="B31" s="4" t="s">
        <v>216</v>
      </c>
      <c r="C31" s="4" t="s">
        <v>217</v>
      </c>
      <c r="D31" s="4" t="s">
        <v>218</v>
      </c>
      <c r="E31" s="4" t="s">
        <v>43</v>
      </c>
      <c r="F31" s="4" t="s">
        <v>311</v>
      </c>
      <c r="G31" s="4" t="n">
        <v>1</v>
      </c>
      <c r="H31" s="4" t="s">
        <v>312</v>
      </c>
      <c r="I31" s="4" t="s">
        <v>313</v>
      </c>
      <c r="J31" s="4" t="s">
        <v>314</v>
      </c>
      <c r="K31" s="4" t="s">
        <v>223</v>
      </c>
      <c r="L31" s="4" t="s">
        <v>145</v>
      </c>
      <c r="M31" s="4" t="s">
        <v>145</v>
      </c>
      <c r="N31" s="4" t="s">
        <v>315</v>
      </c>
      <c r="O31" s="12" t="s">
        <v>316</v>
      </c>
      <c r="P31" s="4" t="s">
        <v>197</v>
      </c>
      <c r="Q31" s="4" t="s">
        <v>276</v>
      </c>
    </row>
    <row r="32" customFormat="false" ht="63.75" hidden="false" customHeight="true" outlineLevel="0" collapsed="false">
      <c r="A32" s="9" t="n">
        <v>46314</v>
      </c>
      <c r="B32" s="4" t="s">
        <v>136</v>
      </c>
      <c r="C32" s="4" t="s">
        <v>137</v>
      </c>
      <c r="D32" s="4" t="s">
        <v>138</v>
      </c>
      <c r="E32" s="4" t="s">
        <v>29</v>
      </c>
      <c r="F32" s="4" t="s">
        <v>139</v>
      </c>
      <c r="G32" s="4" t="n">
        <v>2</v>
      </c>
      <c r="H32" s="12" t="s">
        <v>309</v>
      </c>
      <c r="I32" s="4"/>
      <c r="J32" s="4" t="s">
        <v>278</v>
      </c>
      <c r="K32" s="4" t="s">
        <v>279</v>
      </c>
      <c r="L32" s="4" t="s">
        <v>204</v>
      </c>
      <c r="M32" s="4" t="s">
        <v>145</v>
      </c>
      <c r="N32" s="4"/>
      <c r="O32" s="12" t="s">
        <v>280</v>
      </c>
      <c r="P32" s="4" t="s">
        <v>148</v>
      </c>
      <c r="Q32" s="4"/>
    </row>
    <row r="33" customFormat="false" ht="63.75" hidden="false" customHeight="true" outlineLevel="0" collapsed="false">
      <c r="A33" s="9" t="n">
        <v>46315</v>
      </c>
      <c r="B33" s="4" t="s">
        <v>150</v>
      </c>
      <c r="C33" s="4" t="s">
        <v>151</v>
      </c>
      <c r="D33" s="4" t="s">
        <v>152</v>
      </c>
      <c r="E33" s="4" t="s">
        <v>29</v>
      </c>
      <c r="F33" s="4" t="s">
        <v>317</v>
      </c>
      <c r="G33" s="4" t="n">
        <v>2</v>
      </c>
      <c r="H33" s="4" t="s">
        <v>318</v>
      </c>
      <c r="I33" s="4" t="s">
        <v>319</v>
      </c>
      <c r="J33" s="4" t="s">
        <v>320</v>
      </c>
      <c r="K33" s="4" t="s">
        <v>194</v>
      </c>
      <c r="L33" s="4" t="s">
        <v>321</v>
      </c>
      <c r="M33" s="4" t="s">
        <v>145</v>
      </c>
      <c r="N33" s="4" t="s">
        <v>322</v>
      </c>
      <c r="O33" s="4" t="s">
        <v>147</v>
      </c>
      <c r="P33" s="4" t="s">
        <v>148</v>
      </c>
      <c r="Q33" s="4" t="s">
        <v>323</v>
      </c>
    </row>
    <row r="34" customFormat="false" ht="63.75" hidden="false" customHeight="true" outlineLevel="0" collapsed="false">
      <c r="A34" s="9" t="n">
        <v>46315</v>
      </c>
      <c r="B34" s="4" t="s">
        <v>150</v>
      </c>
      <c r="C34" s="4" t="s">
        <v>137</v>
      </c>
      <c r="D34" s="4" t="s">
        <v>138</v>
      </c>
      <c r="E34" s="4" t="s">
        <v>29</v>
      </c>
      <c r="F34" s="4" t="s">
        <v>161</v>
      </c>
      <c r="G34" s="4" t="n">
        <v>2</v>
      </c>
      <c r="H34" s="4" t="s">
        <v>324</v>
      </c>
      <c r="I34" s="4" t="s">
        <v>325</v>
      </c>
      <c r="J34" s="4" t="s">
        <v>245</v>
      </c>
      <c r="K34" s="4" t="s">
        <v>326</v>
      </c>
      <c r="L34" s="4" t="s">
        <v>204</v>
      </c>
      <c r="M34" s="4" t="s">
        <v>145</v>
      </c>
      <c r="N34" s="4"/>
      <c r="O34" s="4" t="s">
        <v>147</v>
      </c>
      <c r="P34" s="4" t="s">
        <v>148</v>
      </c>
      <c r="Q34" s="4" t="s">
        <v>178</v>
      </c>
    </row>
    <row r="35" customFormat="false" ht="63.75" hidden="false" customHeight="true" outlineLevel="0" collapsed="false">
      <c r="A35" s="9" t="n">
        <v>46316</v>
      </c>
      <c r="B35" s="4" t="s">
        <v>167</v>
      </c>
      <c r="C35" s="4" t="s">
        <v>151</v>
      </c>
      <c r="D35" s="4" t="s">
        <v>152</v>
      </c>
      <c r="E35" s="4" t="s">
        <v>29</v>
      </c>
      <c r="F35" s="4" t="s">
        <v>168</v>
      </c>
      <c r="G35" s="4" t="n">
        <v>2</v>
      </c>
      <c r="H35" s="4" t="s">
        <v>327</v>
      </c>
      <c r="I35" s="4" t="s">
        <v>328</v>
      </c>
      <c r="J35" s="4" t="s">
        <v>329</v>
      </c>
      <c r="K35" s="4" t="s">
        <v>172</v>
      </c>
      <c r="L35" s="4" t="s">
        <v>330</v>
      </c>
      <c r="M35" s="4" t="s">
        <v>145</v>
      </c>
      <c r="N35" s="4" t="s">
        <v>297</v>
      </c>
      <c r="O35" s="4" t="s">
        <v>147</v>
      </c>
      <c r="P35" s="4" t="s">
        <v>148</v>
      </c>
      <c r="Q35" s="4"/>
    </row>
    <row r="36" customFormat="false" ht="63.75" hidden="false" customHeight="true" outlineLevel="0" collapsed="false">
      <c r="A36" s="9" t="n">
        <v>46316</v>
      </c>
      <c r="B36" s="4" t="s">
        <v>167</v>
      </c>
      <c r="C36" s="4" t="s">
        <v>137</v>
      </c>
      <c r="D36" s="4" t="s">
        <v>138</v>
      </c>
      <c r="E36" s="4" t="s">
        <v>29</v>
      </c>
      <c r="F36" s="4" t="s">
        <v>175</v>
      </c>
      <c r="G36" s="4" t="n">
        <v>2</v>
      </c>
      <c r="H36" s="4" t="s">
        <v>331</v>
      </c>
      <c r="I36" s="4" t="s">
        <v>252</v>
      </c>
      <c r="J36" s="4" t="s">
        <v>245</v>
      </c>
      <c r="K36" s="4" t="s">
        <v>165</v>
      </c>
      <c r="L36" s="4" t="s">
        <v>330</v>
      </c>
      <c r="M36" s="4" t="s">
        <v>145</v>
      </c>
      <c r="N36" s="4"/>
      <c r="O36" s="4" t="s">
        <v>147</v>
      </c>
      <c r="P36" s="4" t="s">
        <v>148</v>
      </c>
      <c r="Q36" s="4"/>
    </row>
    <row r="37" customFormat="false" ht="63.75" hidden="false" customHeight="true" outlineLevel="0" collapsed="false">
      <c r="A37" s="9" t="n">
        <v>46317</v>
      </c>
      <c r="B37" s="4" t="s">
        <v>179</v>
      </c>
      <c r="C37" s="4" t="s">
        <v>151</v>
      </c>
      <c r="D37" s="4" t="s">
        <v>152</v>
      </c>
      <c r="E37" s="4" t="s">
        <v>43</v>
      </c>
      <c r="F37" s="4" t="s">
        <v>332</v>
      </c>
      <c r="G37" s="4" t="n">
        <v>1</v>
      </c>
      <c r="H37" s="12" t="s">
        <v>333</v>
      </c>
      <c r="I37" s="4" t="s">
        <v>334</v>
      </c>
      <c r="J37" s="4" t="s">
        <v>335</v>
      </c>
      <c r="K37" s="4" t="s">
        <v>257</v>
      </c>
      <c r="L37" s="4" t="s">
        <v>258</v>
      </c>
      <c r="M37" s="4" t="s">
        <v>145</v>
      </c>
      <c r="N37" s="4" t="s">
        <v>336</v>
      </c>
      <c r="O37" s="12" t="s">
        <v>337</v>
      </c>
      <c r="P37" s="4" t="s">
        <v>148</v>
      </c>
      <c r="Q37" s="4" t="s">
        <v>338</v>
      </c>
    </row>
    <row r="38" customFormat="false" ht="63.75" hidden="false" customHeight="true" outlineLevel="0" collapsed="false">
      <c r="A38" s="9" t="n">
        <v>46317</v>
      </c>
      <c r="B38" s="4" t="s">
        <v>179</v>
      </c>
      <c r="C38" s="4" t="s">
        <v>137</v>
      </c>
      <c r="D38" s="4" t="s">
        <v>138</v>
      </c>
      <c r="E38" s="4" t="s">
        <v>29</v>
      </c>
      <c r="F38" s="4" t="s">
        <v>199</v>
      </c>
      <c r="G38" s="4" t="n">
        <v>2</v>
      </c>
      <c r="H38" s="12" t="s">
        <v>309</v>
      </c>
      <c r="I38" s="4"/>
      <c r="J38" s="4" t="s">
        <v>263</v>
      </c>
      <c r="K38" s="4" t="s">
        <v>264</v>
      </c>
      <c r="L38" s="4" t="s">
        <v>204</v>
      </c>
      <c r="M38" s="4" t="s">
        <v>145</v>
      </c>
      <c r="N38" s="4"/>
      <c r="O38" s="4" t="s">
        <v>147</v>
      </c>
      <c r="P38" s="4" t="s">
        <v>148</v>
      </c>
      <c r="Q38" s="4"/>
    </row>
    <row r="39" customFormat="false" ht="63.75" hidden="false" customHeight="true" outlineLevel="0" collapsed="false">
      <c r="A39" s="9" t="n">
        <v>46318</v>
      </c>
      <c r="B39" s="4" t="s">
        <v>207</v>
      </c>
      <c r="C39" s="4" t="s">
        <v>137</v>
      </c>
      <c r="D39" s="4" t="s">
        <v>138</v>
      </c>
      <c r="E39" s="4" t="s">
        <v>29</v>
      </c>
      <c r="F39" s="4" t="s">
        <v>208</v>
      </c>
      <c r="G39" s="4" t="n">
        <v>2</v>
      </c>
      <c r="H39" s="12" t="s">
        <v>309</v>
      </c>
      <c r="I39" s="4"/>
      <c r="J39" s="4" t="s">
        <v>310</v>
      </c>
      <c r="K39" s="4" t="s">
        <v>267</v>
      </c>
      <c r="L39" s="4" t="s">
        <v>204</v>
      </c>
      <c r="M39" s="4" t="s">
        <v>145</v>
      </c>
      <c r="N39" s="4"/>
      <c r="O39" s="4" t="s">
        <v>147</v>
      </c>
      <c r="P39" s="4" t="s">
        <v>148</v>
      </c>
      <c r="Q39" s="4"/>
    </row>
    <row r="42" customFormat="false" ht="15" hidden="false" customHeight="false" outlineLevel="0" collapsed="false">
      <c r="A42" s="6" t="s">
        <v>339</v>
      </c>
    </row>
    <row r="43" customFormat="false" ht="15" hidden="false" customHeight="false" outlineLevel="0" collapsed="false">
      <c r="A43" s="13" t="s">
        <v>340</v>
      </c>
      <c r="B43" s="6" t="n">
        <f aca="false">COUNTIFS(D4:D39,"Profile",P4:P39,"&lt;&gt;held",P4:P39,"&lt;&gt;binned")</f>
        <v>12</v>
      </c>
    </row>
    <row r="44" customFormat="false" ht="15" hidden="false" customHeight="false" outlineLevel="0" collapsed="false">
      <c r="A44" s="13" t="s">
        <v>341</v>
      </c>
      <c r="B44" s="6" t="n">
        <f aca="false">COUNTIFS(D4:D39,"Profile",E4:E39,"Educate",P4:P39,"&lt;&gt;held",P4:P39,"&lt;&gt;binned")</f>
        <v>8</v>
      </c>
    </row>
    <row r="45" customFormat="false" ht="15" hidden="false" customHeight="false" outlineLevel="0" collapsed="false">
      <c r="A45" s="13" t="s">
        <v>342</v>
      </c>
      <c r="B45" s="6" t="n">
        <f aca="false">COUNTIFS(D4:D39,"Profile",E4:E39,"Storytell",P4:P39,"&lt;&gt;held",P4:P39,"&lt;&gt;binned")</f>
        <v>2</v>
      </c>
    </row>
    <row r="46" customFormat="false" ht="15" hidden="false" customHeight="false" outlineLevel="0" collapsed="false">
      <c r="A46" s="13" t="s">
        <v>343</v>
      </c>
      <c r="B46" s="6" t="n">
        <f aca="false">COUNTIFS(D4:D39,"Profile",E4:E39,"Sell",P4:P39,"&lt;&gt;held",P4:P39,"&lt;&gt;binned")</f>
        <v>2</v>
      </c>
    </row>
    <row r="47" customFormat="false" ht="15" hidden="false" customHeight="false" outlineLevel="0" collapsed="false">
      <c r="A47" s="13" t="s">
        <v>344</v>
      </c>
      <c r="B47" s="14" t="n">
        <f aca="false">IFERROR(B46/B43,0)</f>
        <v>0.166666666666667</v>
      </c>
    </row>
    <row r="48" customFormat="false" ht="15" hidden="false" customHeight="false" outlineLevel="0" collapsed="false">
      <c r="A48" s="13" t="s">
        <v>345</v>
      </c>
      <c r="B48" s="6" t="n">
        <f aca="false">COUNTIFS(D4:D39,"Page",P4:P39,"&lt;&gt;binned")</f>
        <v>20</v>
      </c>
    </row>
    <row r="49" customFormat="false" ht="15" hidden="false" customHeight="false" outlineLevel="0" collapsed="false">
      <c r="A49" s="13" t="s">
        <v>346</v>
      </c>
      <c r="B49" s="6" t="n">
        <f aca="false">COUNTIFS(D4:D39,"Profile",M4:M39,"aiforcompanies*")</f>
        <v>2</v>
      </c>
    </row>
    <row r="50" customFormat="false" ht="15" hidden="false" customHeight="false" outlineLevel="0" collapsed="false">
      <c r="A50" s="13" t="s">
        <v>347</v>
      </c>
      <c r="B50" s="6" t="n">
        <f aca="false">COUNTIFS(O4:O39,"&lt;&gt;nothing",O4:O39,"&lt;&gt;",P4:P39,"&lt;&gt;held")</f>
        <v>8</v>
      </c>
    </row>
    <row r="52" customFormat="false" ht="15" hidden="false" customHeight="false" outlineLevel="0" collapsed="false">
      <c r="A52" s="15" t="s">
        <v>348</v>
      </c>
    </row>
  </sheetData>
  <autoFilter ref="A3:Q39"/>
  <conditionalFormatting sqref="B47">
    <cfRule type="expression" priority="2" aboveAverage="0" equalAverage="0" bottom="0" percent="0" rank="0" text="" dxfId="6">
      <formula>B47&gt;0.25</formula>
    </cfRule>
  </conditionalFormatting>
  <dataValidations count="2">
    <dataValidation allowBlank="true" errorStyle="stop" operator="between" showDropDown="false" showErrorMessage="false" showInputMessage="false" sqref="P4:P39" type="list">
      <formula1>"planned,drafted,approved,scheduled,published,held,binned"</formula1>
      <formula2>0</formula2>
    </dataValidation>
    <dataValidation allowBlank="true" errorStyle="stop" operator="between" showDropDown="false" showErrorMessage="false" showInputMessage="false" sqref="E4:E39" type="list">
      <formula1>"Educate,Storytell,Sell"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18"/>
    <col collapsed="false" customWidth="true" hidden="false" outlineLevel="0" max="4" min="4" style="0" width="42"/>
    <col collapsed="false" customWidth="true" hidden="false" outlineLevel="0" max="5" min="5" style="0" width="30"/>
    <col collapsed="false" customWidth="true" hidden="false" outlineLevel="0" max="6" min="6" style="0" width="50"/>
  </cols>
  <sheetData>
    <row r="1" customFormat="false" ht="17.35" hidden="false" customHeight="false" outlineLevel="0" collapsed="false">
      <c r="A1" s="1" t="s">
        <v>349</v>
      </c>
    </row>
    <row r="3" customFormat="false" ht="15" hidden="false" customHeight="false" outlineLevel="0" collapsed="false">
      <c r="A3" s="5" t="s">
        <v>350</v>
      </c>
      <c r="B3" s="5" t="s">
        <v>351</v>
      </c>
      <c r="C3" s="5" t="s">
        <v>352</v>
      </c>
      <c r="D3" s="5" t="s">
        <v>130</v>
      </c>
      <c r="E3" s="5" t="s">
        <v>353</v>
      </c>
      <c r="F3" s="5" t="s">
        <v>354</v>
      </c>
    </row>
    <row r="4" customFormat="false" ht="15" hidden="false" customHeight="false" outlineLevel="0" collapsed="false">
      <c r="A4" s="4" t="s">
        <v>355</v>
      </c>
      <c r="B4" s="4" t="s">
        <v>154</v>
      </c>
      <c r="C4" s="4" t="s">
        <v>356</v>
      </c>
      <c r="D4" s="4" t="s">
        <v>158</v>
      </c>
      <c r="E4" s="4" t="s">
        <v>357</v>
      </c>
      <c r="F4" s="4" t="s">
        <v>358</v>
      </c>
    </row>
    <row r="5" customFormat="false" ht="15" hidden="false" customHeight="false" outlineLevel="0" collapsed="false">
      <c r="A5" s="4" t="s">
        <v>359</v>
      </c>
      <c r="B5" s="4" t="s">
        <v>318</v>
      </c>
      <c r="C5" s="4" t="s">
        <v>360</v>
      </c>
      <c r="D5" s="4" t="s">
        <v>321</v>
      </c>
      <c r="E5" s="4" t="s">
        <v>361</v>
      </c>
      <c r="F5" s="4" t="s">
        <v>362</v>
      </c>
    </row>
    <row r="6" customFormat="false" ht="15" hidden="false" customHeight="false" outlineLevel="0" collapsed="false">
      <c r="A6" s="4" t="s">
        <v>363</v>
      </c>
      <c r="B6" s="4" t="s">
        <v>364</v>
      </c>
      <c r="C6" s="4" t="s">
        <v>365</v>
      </c>
      <c r="D6" s="4" t="s">
        <v>173</v>
      </c>
      <c r="E6" s="4" t="s">
        <v>366</v>
      </c>
      <c r="F6" s="4" t="s">
        <v>367</v>
      </c>
    </row>
    <row r="7" customFormat="false" ht="15" hidden="false" customHeight="false" outlineLevel="0" collapsed="false">
      <c r="A7" s="4" t="s">
        <v>368</v>
      </c>
      <c r="B7" s="4" t="s">
        <v>369</v>
      </c>
      <c r="C7" s="4" t="s">
        <v>360</v>
      </c>
      <c r="D7" s="4" t="s">
        <v>370</v>
      </c>
      <c r="E7" s="4" t="s">
        <v>371</v>
      </c>
      <c r="F7" s="4" t="s">
        <v>372</v>
      </c>
    </row>
    <row r="8" customFormat="false" ht="15" hidden="false" customHeight="false" outlineLevel="0" collapsed="false">
      <c r="A8" s="4" t="s">
        <v>373</v>
      </c>
      <c r="B8" s="4" t="s">
        <v>246</v>
      </c>
      <c r="C8" s="4" t="s">
        <v>365</v>
      </c>
      <c r="D8" s="4" t="s">
        <v>249</v>
      </c>
      <c r="E8" s="4" t="s">
        <v>374</v>
      </c>
      <c r="F8" s="4" t="s">
        <v>367</v>
      </c>
    </row>
    <row r="9" customFormat="false" ht="15" hidden="false" customHeight="false" outlineLevel="0" collapsed="false">
      <c r="A9" s="4" t="s">
        <v>375</v>
      </c>
      <c r="B9" s="4" t="s">
        <v>191</v>
      </c>
      <c r="C9" s="4" t="s">
        <v>360</v>
      </c>
      <c r="D9" s="4" t="s">
        <v>195</v>
      </c>
      <c r="E9" s="4" t="s">
        <v>376</v>
      </c>
      <c r="F9" s="4" t="s">
        <v>198</v>
      </c>
    </row>
    <row r="10" customFormat="false" ht="23.85" hidden="false" customHeight="false" outlineLevel="0" collapsed="false">
      <c r="A10" s="4" t="s">
        <v>377</v>
      </c>
      <c r="B10" s="4" t="s">
        <v>378</v>
      </c>
      <c r="C10" s="4" t="s">
        <v>379</v>
      </c>
      <c r="D10" s="4" t="s">
        <v>145</v>
      </c>
      <c r="E10" s="4" t="s">
        <v>197</v>
      </c>
      <c r="F10" s="4" t="s">
        <v>380</v>
      </c>
    </row>
    <row r="11" customFormat="false" ht="15" hidden="false" customHeight="false" outlineLevel="0" collapsed="false">
      <c r="A11" s="4" t="s">
        <v>381</v>
      </c>
      <c r="B11" s="4" t="s">
        <v>293</v>
      </c>
      <c r="C11" s="4" t="s">
        <v>365</v>
      </c>
      <c r="D11" s="4" t="s">
        <v>296</v>
      </c>
      <c r="E11" s="4" t="s">
        <v>382</v>
      </c>
      <c r="F11" s="4" t="s">
        <v>367</v>
      </c>
    </row>
    <row r="12" customFormat="false" ht="15" hidden="false" customHeight="false" outlineLevel="0" collapsed="false">
      <c r="A12" s="4" t="s">
        <v>383</v>
      </c>
      <c r="B12" s="4" t="s">
        <v>384</v>
      </c>
      <c r="C12" s="4" t="s">
        <v>365</v>
      </c>
      <c r="D12" s="4" t="s">
        <v>385</v>
      </c>
      <c r="E12" s="4" t="s">
        <v>197</v>
      </c>
      <c r="F12" s="4" t="s">
        <v>386</v>
      </c>
    </row>
    <row r="13" customFormat="false" ht="15" hidden="false" customHeight="false" outlineLevel="0" collapsed="false">
      <c r="A13" s="4" t="s">
        <v>387</v>
      </c>
      <c r="B13" s="4" t="s">
        <v>327</v>
      </c>
      <c r="C13" s="4" t="s">
        <v>365</v>
      </c>
      <c r="D13" s="4" t="s">
        <v>330</v>
      </c>
      <c r="E13" s="4" t="s">
        <v>388</v>
      </c>
      <c r="F13" s="4" t="s">
        <v>367</v>
      </c>
    </row>
    <row r="14" customFormat="false" ht="15" hidden="false" customHeight="false" outlineLevel="0" collapsed="false">
      <c r="A14" s="4" t="s">
        <v>389</v>
      </c>
      <c r="B14" s="4" t="s">
        <v>390</v>
      </c>
      <c r="C14" s="4" t="s">
        <v>365</v>
      </c>
      <c r="D14" s="4" t="s">
        <v>391</v>
      </c>
      <c r="E14" s="4" t="s">
        <v>197</v>
      </c>
      <c r="F14" s="4" t="s">
        <v>392</v>
      </c>
    </row>
    <row r="15" customFormat="false" ht="15" hidden="false" customHeight="false" outlineLevel="0" collapsed="false">
      <c r="A15" s="4" t="s">
        <v>393</v>
      </c>
      <c r="B15" s="4" t="s">
        <v>236</v>
      </c>
      <c r="C15" s="4" t="s">
        <v>394</v>
      </c>
      <c r="D15" s="4" t="s">
        <v>240</v>
      </c>
      <c r="E15" s="4" t="s">
        <v>395</v>
      </c>
      <c r="F15" s="4" t="s">
        <v>396</v>
      </c>
    </row>
    <row r="17" customFormat="false" ht="15" hidden="false" customHeight="false" outlineLevel="0" collapsed="false">
      <c r="A17" s="2" t="s">
        <v>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9"/>
    <col collapsed="false" customWidth="true" hidden="false" outlineLevel="0" max="5" min="5" style="0" width="12"/>
    <col collapsed="false" customWidth="true" hidden="false" outlineLevel="0" max="6" min="6" style="0" width="7"/>
    <col collapsed="false" customWidth="true" hidden="false" outlineLevel="0" max="7" min="7" style="0" width="60"/>
    <col collapsed="false" customWidth="true" hidden="false" outlineLevel="0" max="8" min="8" style="0" width="22"/>
    <col collapsed="false" customWidth="true" hidden="false" outlineLevel="0" max="9" min="9" style="0" width="62"/>
    <col collapsed="false" customWidth="true" hidden="false" outlineLevel="0" max="10" min="10" style="0" width="40"/>
  </cols>
  <sheetData>
    <row r="1" customFormat="false" ht="17.35" hidden="false" customHeight="false" outlineLevel="0" collapsed="false">
      <c r="A1" s="1" t="s">
        <v>398</v>
      </c>
    </row>
    <row r="2" customFormat="false" ht="15" hidden="false" customHeight="false" outlineLevel="0" collapsed="false">
      <c r="A2" s="2" t="s">
        <v>399</v>
      </c>
    </row>
    <row r="3" customFormat="false" ht="23.85" hidden="false" customHeight="false" outlineLevel="0" collapsed="false">
      <c r="A3" s="5" t="s">
        <v>400</v>
      </c>
      <c r="B3" s="5" t="s">
        <v>401</v>
      </c>
      <c r="C3" s="5" t="s">
        <v>402</v>
      </c>
      <c r="D3" s="5" t="s">
        <v>403</v>
      </c>
      <c r="E3" s="5" t="s">
        <v>404</v>
      </c>
      <c r="F3" s="5" t="s">
        <v>405</v>
      </c>
      <c r="G3" s="5" t="s">
        <v>351</v>
      </c>
      <c r="H3" s="5" t="s">
        <v>406</v>
      </c>
      <c r="I3" s="5" t="s">
        <v>407</v>
      </c>
      <c r="J3" s="5" t="s">
        <v>408</v>
      </c>
    </row>
    <row r="4" customFormat="false" ht="15" hidden="false" customHeight="false" outlineLevel="0" collapsed="false">
      <c r="A4" s="16" t="s">
        <v>409</v>
      </c>
      <c r="B4" s="17" t="n">
        <v>4427</v>
      </c>
      <c r="C4" s="17" t="n">
        <v>687</v>
      </c>
      <c r="D4" s="17" t="n">
        <v>306</v>
      </c>
      <c r="E4" s="17" t="n">
        <f aca="false">B4+6*D4</f>
        <v>6263</v>
      </c>
      <c r="F4" s="17" t="n">
        <v>2303</v>
      </c>
      <c r="G4" s="16" t="s">
        <v>410</v>
      </c>
      <c r="H4" s="16" t="s">
        <v>411</v>
      </c>
      <c r="I4" s="16" t="s">
        <v>412</v>
      </c>
      <c r="J4" s="18"/>
    </row>
    <row r="5" customFormat="false" ht="15" hidden="false" customHeight="false" outlineLevel="0" collapsed="false">
      <c r="A5" s="16" t="s">
        <v>413</v>
      </c>
      <c r="B5" s="17" t="n">
        <v>3423</v>
      </c>
      <c r="C5" s="17" t="n">
        <v>540</v>
      </c>
      <c r="D5" s="17" t="n">
        <v>222</v>
      </c>
      <c r="E5" s="17" t="n">
        <f aca="false">B5+6*D5</f>
        <v>4755</v>
      </c>
      <c r="F5" s="17" t="n">
        <v>2433</v>
      </c>
      <c r="G5" s="16" t="s">
        <v>414</v>
      </c>
      <c r="H5" s="16" t="s">
        <v>415</v>
      </c>
      <c r="I5" s="16" t="s">
        <v>416</v>
      </c>
      <c r="J5" s="18"/>
    </row>
    <row r="6" customFormat="false" ht="15" hidden="false" customHeight="false" outlineLevel="0" collapsed="false">
      <c r="A6" s="16" t="s">
        <v>413</v>
      </c>
      <c r="B6" s="17" t="n">
        <v>2598</v>
      </c>
      <c r="C6" s="17" t="n">
        <v>604</v>
      </c>
      <c r="D6" s="17" t="n">
        <v>342</v>
      </c>
      <c r="E6" s="17" t="n">
        <f aca="false">B6+6*D6</f>
        <v>4650</v>
      </c>
      <c r="F6" s="17" t="n">
        <v>2632</v>
      </c>
      <c r="G6" s="16" t="s">
        <v>417</v>
      </c>
      <c r="H6" s="16" t="s">
        <v>418</v>
      </c>
      <c r="I6" s="16" t="s">
        <v>419</v>
      </c>
      <c r="J6" s="18"/>
    </row>
    <row r="7" customFormat="false" ht="15" hidden="false" customHeight="false" outlineLevel="0" collapsed="false">
      <c r="A7" s="16" t="s">
        <v>413</v>
      </c>
      <c r="B7" s="17" t="n">
        <v>2862</v>
      </c>
      <c r="C7" s="17" t="n">
        <v>698</v>
      </c>
      <c r="D7" s="17" t="n">
        <v>162</v>
      </c>
      <c r="E7" s="17" t="n">
        <f aca="false">B7+6*D7</f>
        <v>3834</v>
      </c>
      <c r="F7" s="17" t="n">
        <v>2514</v>
      </c>
      <c r="G7" s="16" t="s">
        <v>420</v>
      </c>
      <c r="H7" s="16" t="s">
        <v>421</v>
      </c>
      <c r="I7" s="16" t="s">
        <v>422</v>
      </c>
      <c r="J7" s="18"/>
    </row>
    <row r="8" customFormat="false" ht="15" hidden="false" customHeight="false" outlineLevel="0" collapsed="false">
      <c r="A8" s="16" t="s">
        <v>409</v>
      </c>
      <c r="B8" s="17" t="n">
        <v>2161</v>
      </c>
      <c r="C8" s="17" t="n">
        <v>242</v>
      </c>
      <c r="D8" s="17" t="n">
        <v>269</v>
      </c>
      <c r="E8" s="17" t="n">
        <f aca="false">B8+6*D8</f>
        <v>3775</v>
      </c>
      <c r="F8" s="17" t="n">
        <v>1813</v>
      </c>
      <c r="G8" s="16" t="s">
        <v>423</v>
      </c>
      <c r="H8" s="16" t="s">
        <v>424</v>
      </c>
      <c r="I8" s="16" t="s">
        <v>425</v>
      </c>
      <c r="J8" s="18"/>
    </row>
    <row r="9" customFormat="false" ht="15" hidden="false" customHeight="false" outlineLevel="0" collapsed="false">
      <c r="A9" s="16" t="s">
        <v>426</v>
      </c>
      <c r="B9" s="17" t="n">
        <v>3227</v>
      </c>
      <c r="C9" s="17" t="n">
        <v>1038</v>
      </c>
      <c r="D9" s="17" t="n">
        <v>51</v>
      </c>
      <c r="E9" s="17" t="n">
        <f aca="false">B9+6*D9</f>
        <v>3533</v>
      </c>
      <c r="F9" s="17" t="n">
        <v>1670</v>
      </c>
      <c r="G9" s="16" t="s">
        <v>427</v>
      </c>
      <c r="H9" s="16" t="s">
        <v>428</v>
      </c>
      <c r="I9" s="16" t="s">
        <v>429</v>
      </c>
      <c r="J9" s="18"/>
    </row>
    <row r="10" customFormat="false" ht="15" hidden="false" customHeight="false" outlineLevel="0" collapsed="false">
      <c r="A10" s="16" t="s">
        <v>413</v>
      </c>
      <c r="B10" s="17" t="n">
        <v>1784</v>
      </c>
      <c r="C10" s="17" t="n">
        <v>397</v>
      </c>
      <c r="D10" s="17" t="n">
        <v>222</v>
      </c>
      <c r="E10" s="17" t="n">
        <f aca="false">B10+6*D10</f>
        <v>3116</v>
      </c>
      <c r="F10" s="17" t="n">
        <v>2506</v>
      </c>
      <c r="G10" s="16" t="s">
        <v>430</v>
      </c>
      <c r="H10" s="16" t="s">
        <v>431</v>
      </c>
      <c r="I10" s="16" t="s">
        <v>432</v>
      </c>
      <c r="J10" s="18"/>
    </row>
    <row r="11" customFormat="false" ht="15" hidden="false" customHeight="false" outlineLevel="0" collapsed="false">
      <c r="A11" s="16" t="s">
        <v>426</v>
      </c>
      <c r="B11" s="17" t="n">
        <v>2411</v>
      </c>
      <c r="C11" s="17" t="n">
        <v>834</v>
      </c>
      <c r="D11" s="17" t="n">
        <v>101</v>
      </c>
      <c r="E11" s="17" t="n">
        <f aca="false">B11+6*D11</f>
        <v>3017</v>
      </c>
      <c r="F11" s="17" t="n">
        <v>1074</v>
      </c>
      <c r="G11" s="16" t="s">
        <v>433</v>
      </c>
      <c r="H11" s="16" t="s">
        <v>434</v>
      </c>
      <c r="I11" s="16" t="s">
        <v>435</v>
      </c>
      <c r="J11" s="18"/>
    </row>
    <row r="12" customFormat="false" ht="15" hidden="false" customHeight="false" outlineLevel="0" collapsed="false">
      <c r="A12" s="16" t="s">
        <v>426</v>
      </c>
      <c r="B12" s="17" t="n">
        <v>2557</v>
      </c>
      <c r="C12" s="17" t="n">
        <v>901</v>
      </c>
      <c r="D12" s="17" t="n">
        <v>68</v>
      </c>
      <c r="E12" s="17" t="n">
        <f aca="false">B12+6*D12</f>
        <v>2965</v>
      </c>
      <c r="F12" s="17" t="n">
        <v>1257</v>
      </c>
      <c r="G12" s="16" t="s">
        <v>436</v>
      </c>
      <c r="H12" s="16" t="s">
        <v>437</v>
      </c>
      <c r="I12" s="16" t="s">
        <v>438</v>
      </c>
      <c r="J12" s="18"/>
    </row>
    <row r="13" customFormat="false" ht="15" hidden="false" customHeight="false" outlineLevel="0" collapsed="false">
      <c r="A13" s="16" t="s">
        <v>413</v>
      </c>
      <c r="B13" s="17" t="n">
        <v>2055</v>
      </c>
      <c r="C13" s="17" t="n">
        <v>385</v>
      </c>
      <c r="D13" s="17" t="n">
        <v>143</v>
      </c>
      <c r="E13" s="17" t="n">
        <f aca="false">B13+6*D13</f>
        <v>2913</v>
      </c>
      <c r="F13" s="17" t="n">
        <v>2960</v>
      </c>
      <c r="G13" s="16" t="s">
        <v>439</v>
      </c>
      <c r="H13" s="16" t="s">
        <v>440</v>
      </c>
      <c r="I13" s="16" t="s">
        <v>441</v>
      </c>
      <c r="J13" s="18"/>
    </row>
    <row r="14" customFormat="false" ht="15" hidden="false" customHeight="false" outlineLevel="0" collapsed="false">
      <c r="A14" s="16" t="s">
        <v>442</v>
      </c>
      <c r="B14" s="17" t="n">
        <v>1570</v>
      </c>
      <c r="C14" s="17" t="n">
        <v>256</v>
      </c>
      <c r="D14" s="17" t="n">
        <v>218</v>
      </c>
      <c r="E14" s="17" t="n">
        <f aca="false">B14+6*D14</f>
        <v>2878</v>
      </c>
      <c r="F14" s="17" t="n">
        <v>1473</v>
      </c>
      <c r="G14" s="16" t="s">
        <v>443</v>
      </c>
      <c r="H14" s="16" t="s">
        <v>444</v>
      </c>
      <c r="I14" s="16" t="s">
        <v>445</v>
      </c>
      <c r="J14" s="18"/>
    </row>
    <row r="15" customFormat="false" ht="15" hidden="false" customHeight="false" outlineLevel="0" collapsed="false">
      <c r="A15" s="16" t="s">
        <v>442</v>
      </c>
      <c r="B15" s="17" t="n">
        <v>1563</v>
      </c>
      <c r="C15" s="17" t="n">
        <v>346</v>
      </c>
      <c r="D15" s="17" t="n">
        <v>215</v>
      </c>
      <c r="E15" s="17" t="n">
        <f aca="false">B15+6*D15</f>
        <v>2853</v>
      </c>
      <c r="F15" s="17" t="n">
        <v>2540</v>
      </c>
      <c r="G15" s="16" t="s">
        <v>446</v>
      </c>
      <c r="H15" s="16" t="s">
        <v>447</v>
      </c>
      <c r="I15" s="16" t="s">
        <v>448</v>
      </c>
      <c r="J15" s="18"/>
    </row>
    <row r="16" customFormat="false" ht="15" hidden="false" customHeight="false" outlineLevel="0" collapsed="false">
      <c r="A16" s="16" t="s">
        <v>413</v>
      </c>
      <c r="B16" s="17" t="n">
        <v>1606</v>
      </c>
      <c r="C16" s="17" t="n">
        <v>514</v>
      </c>
      <c r="D16" s="17" t="n">
        <v>207</v>
      </c>
      <c r="E16" s="17" t="n">
        <f aca="false">B16+6*D16</f>
        <v>2848</v>
      </c>
      <c r="F16" s="17" t="n">
        <v>2321</v>
      </c>
      <c r="G16" s="16" t="s">
        <v>449</v>
      </c>
      <c r="H16" s="16" t="s">
        <v>450</v>
      </c>
      <c r="I16" s="16" t="s">
        <v>451</v>
      </c>
      <c r="J16" s="18"/>
    </row>
    <row r="17" customFormat="false" ht="15" hidden="false" customHeight="false" outlineLevel="0" collapsed="false">
      <c r="A17" s="16" t="s">
        <v>426</v>
      </c>
      <c r="B17" s="17" t="n">
        <v>2397</v>
      </c>
      <c r="C17" s="17" t="n">
        <v>937</v>
      </c>
      <c r="D17" s="17" t="n">
        <v>58</v>
      </c>
      <c r="E17" s="17" t="n">
        <f aca="false">B17+6*D17</f>
        <v>2745</v>
      </c>
      <c r="F17" s="17" t="n">
        <v>1046</v>
      </c>
      <c r="G17" s="16" t="s">
        <v>452</v>
      </c>
      <c r="H17" s="16" t="s">
        <v>453</v>
      </c>
      <c r="I17" s="16" t="s">
        <v>454</v>
      </c>
      <c r="J17" s="18"/>
    </row>
    <row r="18" customFormat="false" ht="15" hidden="false" customHeight="false" outlineLevel="0" collapsed="false">
      <c r="A18" s="16" t="s">
        <v>413</v>
      </c>
      <c r="B18" s="17" t="n">
        <v>1502</v>
      </c>
      <c r="C18" s="17" t="n">
        <v>499</v>
      </c>
      <c r="D18" s="17" t="n">
        <v>204</v>
      </c>
      <c r="E18" s="17" t="n">
        <f aca="false">B18+6*D18</f>
        <v>2726</v>
      </c>
      <c r="F18" s="17" t="n">
        <v>2386</v>
      </c>
      <c r="G18" s="16" t="s">
        <v>455</v>
      </c>
      <c r="H18" s="16" t="s">
        <v>456</v>
      </c>
      <c r="I18" s="16" t="s">
        <v>457</v>
      </c>
      <c r="J18" s="18"/>
    </row>
    <row r="19" customFormat="false" ht="15" hidden="false" customHeight="false" outlineLevel="0" collapsed="false">
      <c r="A19" s="16" t="s">
        <v>426</v>
      </c>
      <c r="B19" s="17" t="n">
        <v>2426</v>
      </c>
      <c r="C19" s="17" t="n">
        <v>762</v>
      </c>
      <c r="D19" s="17" t="n">
        <v>45</v>
      </c>
      <c r="E19" s="17" t="n">
        <f aca="false">B19+6*D19</f>
        <v>2696</v>
      </c>
      <c r="F19" s="17" t="n">
        <v>915</v>
      </c>
      <c r="G19" s="16" t="s">
        <v>458</v>
      </c>
      <c r="H19" s="16" t="s">
        <v>459</v>
      </c>
      <c r="I19" s="16" t="s">
        <v>460</v>
      </c>
      <c r="J19" s="18"/>
    </row>
    <row r="20" customFormat="false" ht="15" hidden="false" customHeight="false" outlineLevel="0" collapsed="false">
      <c r="A20" s="16" t="s">
        <v>442</v>
      </c>
      <c r="B20" s="17" t="n">
        <v>1440</v>
      </c>
      <c r="C20" s="17" t="n">
        <v>181</v>
      </c>
      <c r="D20" s="17" t="n">
        <v>196</v>
      </c>
      <c r="E20" s="17" t="n">
        <f aca="false">B20+6*D20</f>
        <v>2616</v>
      </c>
      <c r="F20" s="17" t="n">
        <v>865</v>
      </c>
      <c r="G20" s="16" t="s">
        <v>461</v>
      </c>
      <c r="H20" s="16" t="s">
        <v>462</v>
      </c>
      <c r="I20" s="16" t="s">
        <v>463</v>
      </c>
      <c r="J20" s="18"/>
    </row>
    <row r="21" customFormat="false" ht="15" hidden="false" customHeight="false" outlineLevel="0" collapsed="false">
      <c r="A21" s="16" t="s">
        <v>413</v>
      </c>
      <c r="B21" s="17" t="n">
        <v>1559</v>
      </c>
      <c r="C21" s="17" t="n">
        <v>319</v>
      </c>
      <c r="D21" s="17" t="n">
        <v>173</v>
      </c>
      <c r="E21" s="17" t="n">
        <f aca="false">B21+6*D21</f>
        <v>2597</v>
      </c>
      <c r="F21" s="17" t="n">
        <v>2834</v>
      </c>
      <c r="G21" s="16" t="s">
        <v>464</v>
      </c>
      <c r="H21" s="16" t="s">
        <v>465</v>
      </c>
      <c r="I21" s="16" t="s">
        <v>466</v>
      </c>
      <c r="J21" s="18"/>
    </row>
    <row r="22" customFormat="false" ht="15" hidden="false" customHeight="false" outlineLevel="0" collapsed="false">
      <c r="A22" s="16" t="s">
        <v>442</v>
      </c>
      <c r="B22" s="17" t="n">
        <v>1513</v>
      </c>
      <c r="C22" s="17" t="n">
        <v>218</v>
      </c>
      <c r="D22" s="17" t="n">
        <v>180</v>
      </c>
      <c r="E22" s="17" t="n">
        <f aca="false">B22+6*D22</f>
        <v>2593</v>
      </c>
      <c r="F22" s="17" t="n">
        <v>583</v>
      </c>
      <c r="G22" s="16" t="s">
        <v>467</v>
      </c>
      <c r="H22" s="16" t="s">
        <v>468</v>
      </c>
      <c r="I22" s="16" t="s">
        <v>469</v>
      </c>
      <c r="J22" s="18"/>
    </row>
    <row r="23" customFormat="false" ht="15" hidden="false" customHeight="false" outlineLevel="0" collapsed="false">
      <c r="A23" s="16" t="s">
        <v>409</v>
      </c>
      <c r="B23" s="17" t="n">
        <v>1654</v>
      </c>
      <c r="C23" s="17" t="n">
        <v>208</v>
      </c>
      <c r="D23" s="17" t="n">
        <v>148</v>
      </c>
      <c r="E23" s="17" t="n">
        <f aca="false">B23+6*D23</f>
        <v>2542</v>
      </c>
      <c r="F23" s="17" t="n">
        <v>1073</v>
      </c>
      <c r="G23" s="16" t="s">
        <v>470</v>
      </c>
      <c r="H23" s="16" t="s">
        <v>471</v>
      </c>
      <c r="I23" s="16" t="s">
        <v>40</v>
      </c>
      <c r="J23" s="18"/>
    </row>
    <row r="24" customFormat="false" ht="15" hidden="false" customHeight="false" outlineLevel="0" collapsed="false">
      <c r="A24" s="16" t="s">
        <v>426</v>
      </c>
      <c r="B24" s="17" t="n">
        <v>2179</v>
      </c>
      <c r="C24" s="17" t="n">
        <v>1020</v>
      </c>
      <c r="D24" s="17" t="n">
        <v>60</v>
      </c>
      <c r="E24" s="17" t="n">
        <f aca="false">B24+6*D24</f>
        <v>2539</v>
      </c>
      <c r="F24" s="17" t="n">
        <v>2253</v>
      </c>
      <c r="G24" s="16" t="s">
        <v>472</v>
      </c>
      <c r="H24" s="16" t="s">
        <v>473</v>
      </c>
      <c r="I24" s="16" t="s">
        <v>474</v>
      </c>
      <c r="J24" s="18"/>
    </row>
    <row r="25" customFormat="false" ht="15" hidden="false" customHeight="false" outlineLevel="0" collapsed="false">
      <c r="A25" s="16" t="s">
        <v>426</v>
      </c>
      <c r="B25" s="17" t="n">
        <v>2294</v>
      </c>
      <c r="C25" s="17" t="n">
        <v>865</v>
      </c>
      <c r="D25" s="17" t="n">
        <v>40</v>
      </c>
      <c r="E25" s="17" t="n">
        <f aca="false">B25+6*D25</f>
        <v>2534</v>
      </c>
      <c r="F25" s="17" t="n">
        <v>961</v>
      </c>
      <c r="G25" s="16" t="s">
        <v>475</v>
      </c>
      <c r="H25" s="16" t="s">
        <v>476</v>
      </c>
      <c r="I25" s="16" t="s">
        <v>477</v>
      </c>
      <c r="J25" s="18"/>
    </row>
    <row r="26" customFormat="false" ht="15" hidden="false" customHeight="false" outlineLevel="0" collapsed="false">
      <c r="A26" s="16" t="s">
        <v>426</v>
      </c>
      <c r="B26" s="17" t="n">
        <v>2161</v>
      </c>
      <c r="C26" s="17" t="n">
        <v>920</v>
      </c>
      <c r="D26" s="17" t="n">
        <v>46</v>
      </c>
      <c r="E26" s="17" t="n">
        <f aca="false">B26+6*D26</f>
        <v>2437</v>
      </c>
      <c r="F26" s="17" t="n">
        <v>1564</v>
      </c>
      <c r="G26" s="16" t="s">
        <v>478</v>
      </c>
      <c r="H26" s="16" t="s">
        <v>479</v>
      </c>
      <c r="I26" s="16" t="s">
        <v>55</v>
      </c>
      <c r="J26" s="18"/>
    </row>
    <row r="27" customFormat="false" ht="15" hidden="false" customHeight="false" outlineLevel="0" collapsed="false">
      <c r="A27" s="16" t="s">
        <v>409</v>
      </c>
      <c r="B27" s="17" t="n">
        <v>1391</v>
      </c>
      <c r="C27" s="17" t="n">
        <v>178</v>
      </c>
      <c r="D27" s="17" t="n">
        <v>151</v>
      </c>
      <c r="E27" s="17" t="n">
        <f aca="false">B27+6*D27</f>
        <v>2297</v>
      </c>
      <c r="F27" s="17" t="n">
        <v>1068</v>
      </c>
      <c r="G27" s="16" t="s">
        <v>480</v>
      </c>
      <c r="H27" s="16" t="s">
        <v>481</v>
      </c>
      <c r="I27" s="16" t="s">
        <v>482</v>
      </c>
      <c r="J27" s="18"/>
    </row>
    <row r="28" customFormat="false" ht="15" hidden="false" customHeight="false" outlineLevel="0" collapsed="false">
      <c r="A28" s="16" t="s">
        <v>409</v>
      </c>
      <c r="B28" s="17" t="n">
        <v>1608</v>
      </c>
      <c r="C28" s="17" t="n">
        <v>350</v>
      </c>
      <c r="D28" s="17" t="n">
        <v>112</v>
      </c>
      <c r="E28" s="17" t="n">
        <f aca="false">B28+6*D28</f>
        <v>2280</v>
      </c>
      <c r="F28" s="17" t="n">
        <v>1730</v>
      </c>
      <c r="G28" s="16" t="s">
        <v>483</v>
      </c>
      <c r="H28" s="16" t="s">
        <v>484</v>
      </c>
      <c r="I28" s="16" t="s">
        <v>485</v>
      </c>
      <c r="J28" s="18"/>
    </row>
    <row r="29" customFormat="false" ht="15" hidden="false" customHeight="false" outlineLevel="0" collapsed="false">
      <c r="A29" s="16" t="s">
        <v>409</v>
      </c>
      <c r="B29" s="17" t="n">
        <v>1435</v>
      </c>
      <c r="C29" s="17" t="n">
        <v>288</v>
      </c>
      <c r="D29" s="17" t="n">
        <v>130</v>
      </c>
      <c r="E29" s="17" t="n">
        <f aca="false">B29+6*D29</f>
        <v>2215</v>
      </c>
      <c r="F29" s="17" t="n">
        <v>2100</v>
      </c>
      <c r="G29" s="16" t="s">
        <v>486</v>
      </c>
      <c r="H29" s="16" t="s">
        <v>487</v>
      </c>
      <c r="I29" s="16" t="s">
        <v>488</v>
      </c>
      <c r="J29" s="18"/>
    </row>
    <row r="30" customFormat="false" ht="15" hidden="false" customHeight="false" outlineLevel="0" collapsed="false">
      <c r="A30" s="16" t="s">
        <v>409</v>
      </c>
      <c r="B30" s="17" t="n">
        <v>1403</v>
      </c>
      <c r="C30" s="17" t="n">
        <v>197</v>
      </c>
      <c r="D30" s="17" t="n">
        <v>134</v>
      </c>
      <c r="E30" s="17" t="n">
        <f aca="false">B30+6*D30</f>
        <v>2207</v>
      </c>
      <c r="F30" s="17" t="n">
        <v>2944</v>
      </c>
      <c r="G30" s="16" t="s">
        <v>489</v>
      </c>
      <c r="H30" s="16" t="s">
        <v>490</v>
      </c>
      <c r="I30" s="16" t="s">
        <v>491</v>
      </c>
      <c r="J30" s="18"/>
    </row>
    <row r="31" customFormat="false" ht="15" hidden="false" customHeight="false" outlineLevel="0" collapsed="false">
      <c r="A31" s="16" t="s">
        <v>492</v>
      </c>
      <c r="B31" s="17" t="n">
        <v>1527</v>
      </c>
      <c r="C31" s="17" t="n">
        <v>403</v>
      </c>
      <c r="D31" s="17" t="n">
        <v>107</v>
      </c>
      <c r="E31" s="17" t="n">
        <f aca="false">B31+6*D31</f>
        <v>2169</v>
      </c>
      <c r="F31" s="17" t="n">
        <v>1455</v>
      </c>
      <c r="G31" s="16" t="s">
        <v>493</v>
      </c>
      <c r="H31" s="16" t="s">
        <v>494</v>
      </c>
      <c r="I31" s="16" t="s">
        <v>495</v>
      </c>
      <c r="J31" s="18"/>
    </row>
    <row r="32" customFormat="false" ht="15" hidden="false" customHeight="false" outlineLevel="0" collapsed="false">
      <c r="A32" s="16" t="s">
        <v>442</v>
      </c>
      <c r="B32" s="17" t="n">
        <v>1255</v>
      </c>
      <c r="C32" s="17" t="n">
        <v>170</v>
      </c>
      <c r="D32" s="17" t="n">
        <v>147</v>
      </c>
      <c r="E32" s="17" t="n">
        <f aca="false">B32+6*D32</f>
        <v>2137</v>
      </c>
      <c r="F32" s="17" t="n">
        <v>1485</v>
      </c>
      <c r="G32" s="16" t="s">
        <v>496</v>
      </c>
      <c r="H32" s="16" t="s">
        <v>497</v>
      </c>
      <c r="I32" s="16" t="s">
        <v>498</v>
      </c>
      <c r="J32" s="18"/>
    </row>
    <row r="33" customFormat="false" ht="15" hidden="false" customHeight="false" outlineLevel="0" collapsed="false">
      <c r="A33" s="16" t="s">
        <v>409</v>
      </c>
      <c r="B33" s="17" t="n">
        <v>1621</v>
      </c>
      <c r="C33" s="17" t="n">
        <v>285</v>
      </c>
      <c r="D33" s="17" t="n">
        <v>77</v>
      </c>
      <c r="E33" s="17" t="n">
        <f aca="false">B33+6*D33</f>
        <v>2083</v>
      </c>
      <c r="F33" s="17" t="n">
        <v>2970</v>
      </c>
      <c r="G33" s="16" t="s">
        <v>499</v>
      </c>
      <c r="H33" s="16" t="s">
        <v>500</v>
      </c>
      <c r="I33" s="16" t="s">
        <v>501</v>
      </c>
      <c r="J33" s="18"/>
    </row>
    <row r="34" customFormat="false" ht="15" hidden="false" customHeight="false" outlineLevel="0" collapsed="false">
      <c r="A34" s="16" t="s">
        <v>442</v>
      </c>
      <c r="B34" s="17" t="n">
        <v>1316</v>
      </c>
      <c r="C34" s="17" t="n">
        <v>205</v>
      </c>
      <c r="D34" s="17" t="n">
        <v>119</v>
      </c>
      <c r="E34" s="17" t="n">
        <f aca="false">B34+6*D34</f>
        <v>2030</v>
      </c>
      <c r="F34" s="17" t="n">
        <v>475</v>
      </c>
      <c r="G34" s="16" t="s">
        <v>502</v>
      </c>
      <c r="H34" s="16" t="s">
        <v>503</v>
      </c>
      <c r="I34" s="16" t="s">
        <v>504</v>
      </c>
      <c r="J34" s="18"/>
    </row>
    <row r="35" customFormat="false" ht="15" hidden="false" customHeight="false" outlineLevel="0" collapsed="false">
      <c r="A35" s="16" t="s">
        <v>442</v>
      </c>
      <c r="B35" s="17" t="n">
        <v>1023</v>
      </c>
      <c r="C35" s="17" t="n">
        <v>396</v>
      </c>
      <c r="D35" s="17" t="n">
        <v>139</v>
      </c>
      <c r="E35" s="17" t="n">
        <f aca="false">B35+6*D35</f>
        <v>1857</v>
      </c>
      <c r="F35" s="17" t="n">
        <v>1801</v>
      </c>
      <c r="G35" s="16" t="s">
        <v>505</v>
      </c>
      <c r="H35" s="16" t="s">
        <v>506</v>
      </c>
      <c r="I35" s="16" t="s">
        <v>507</v>
      </c>
      <c r="J35" s="18"/>
    </row>
    <row r="36" customFormat="false" ht="15" hidden="false" customHeight="false" outlineLevel="0" collapsed="false">
      <c r="A36" s="16" t="s">
        <v>442</v>
      </c>
      <c r="B36" s="17" t="n">
        <v>1131</v>
      </c>
      <c r="C36" s="17" t="n">
        <v>204</v>
      </c>
      <c r="D36" s="17" t="n">
        <v>120</v>
      </c>
      <c r="E36" s="17" t="n">
        <f aca="false">B36+6*D36</f>
        <v>1851</v>
      </c>
      <c r="F36" s="17" t="n">
        <v>1572</v>
      </c>
      <c r="G36" s="16" t="s">
        <v>508</v>
      </c>
      <c r="H36" s="16" t="s">
        <v>509</v>
      </c>
      <c r="I36" s="16" t="s">
        <v>510</v>
      </c>
      <c r="J36" s="18"/>
    </row>
    <row r="37" customFormat="false" ht="15" hidden="false" customHeight="false" outlineLevel="0" collapsed="false">
      <c r="A37" s="16" t="s">
        <v>492</v>
      </c>
      <c r="B37" s="17" t="n">
        <v>1270</v>
      </c>
      <c r="C37" s="17" t="n">
        <v>182</v>
      </c>
      <c r="D37" s="17" t="n">
        <v>45</v>
      </c>
      <c r="E37" s="17" t="n">
        <f aca="false">B37+6*D37</f>
        <v>1540</v>
      </c>
      <c r="F37" s="17" t="n">
        <v>1215</v>
      </c>
      <c r="G37" s="16" t="s">
        <v>511</v>
      </c>
      <c r="H37" s="16" t="s">
        <v>512</v>
      </c>
      <c r="I37" s="16" t="s">
        <v>513</v>
      </c>
      <c r="J37" s="18"/>
    </row>
    <row r="38" customFormat="false" ht="15" hidden="false" customHeight="false" outlineLevel="0" collapsed="false">
      <c r="A38" s="16" t="s">
        <v>492</v>
      </c>
      <c r="B38" s="17" t="n">
        <v>1394</v>
      </c>
      <c r="C38" s="17" t="n">
        <v>245</v>
      </c>
      <c r="D38" s="17" t="n">
        <v>22</v>
      </c>
      <c r="E38" s="17" t="n">
        <f aca="false">B38+6*D38</f>
        <v>1526</v>
      </c>
      <c r="F38" s="17" t="n">
        <v>1213</v>
      </c>
      <c r="G38" s="16" t="s">
        <v>514</v>
      </c>
      <c r="H38" s="16" t="s">
        <v>515</v>
      </c>
      <c r="I38" s="16" t="s">
        <v>516</v>
      </c>
      <c r="J38" s="18"/>
    </row>
    <row r="39" customFormat="false" ht="15" hidden="false" customHeight="false" outlineLevel="0" collapsed="false">
      <c r="A39" s="16" t="s">
        <v>492</v>
      </c>
      <c r="B39" s="17" t="n">
        <v>1182</v>
      </c>
      <c r="C39" s="17" t="n">
        <v>270</v>
      </c>
      <c r="D39" s="17" t="n">
        <v>50</v>
      </c>
      <c r="E39" s="17" t="n">
        <f aca="false">B39+6*D39</f>
        <v>1482</v>
      </c>
      <c r="F39" s="17" t="n">
        <v>1117</v>
      </c>
      <c r="G39" s="16" t="s">
        <v>517</v>
      </c>
      <c r="H39" s="16" t="s">
        <v>518</v>
      </c>
      <c r="I39" s="16" t="s">
        <v>519</v>
      </c>
      <c r="J39" s="18"/>
    </row>
    <row r="40" customFormat="false" ht="15" hidden="false" customHeight="false" outlineLevel="0" collapsed="false">
      <c r="A40" s="16" t="s">
        <v>520</v>
      </c>
      <c r="B40" s="17" t="n">
        <v>1090</v>
      </c>
      <c r="C40" s="17" t="n">
        <v>188</v>
      </c>
      <c r="D40" s="17" t="n">
        <v>51</v>
      </c>
      <c r="E40" s="17" t="n">
        <f aca="false">B40+6*D40</f>
        <v>1396</v>
      </c>
      <c r="F40" s="17" t="n">
        <v>2501</v>
      </c>
      <c r="G40" s="16" t="s">
        <v>521</v>
      </c>
      <c r="H40" s="16" t="s">
        <v>522</v>
      </c>
      <c r="I40" s="16" t="s">
        <v>523</v>
      </c>
      <c r="J40" s="18"/>
    </row>
    <row r="41" customFormat="false" ht="15" hidden="false" customHeight="false" outlineLevel="0" collapsed="false">
      <c r="A41" s="16" t="s">
        <v>520</v>
      </c>
      <c r="B41" s="17" t="n">
        <v>877</v>
      </c>
      <c r="C41" s="17" t="n">
        <v>261</v>
      </c>
      <c r="D41" s="17" t="n">
        <v>77</v>
      </c>
      <c r="E41" s="17" t="n">
        <f aca="false">B41+6*D41</f>
        <v>1339</v>
      </c>
      <c r="F41" s="17" t="n">
        <v>2399</v>
      </c>
      <c r="G41" s="16" t="s">
        <v>524</v>
      </c>
      <c r="H41" s="16" t="s">
        <v>525</v>
      </c>
      <c r="I41" s="16" t="s">
        <v>526</v>
      </c>
      <c r="J41" s="18"/>
    </row>
    <row r="42" customFormat="false" ht="15" hidden="false" customHeight="false" outlineLevel="0" collapsed="false">
      <c r="A42" s="16" t="s">
        <v>520</v>
      </c>
      <c r="B42" s="17" t="n">
        <v>936</v>
      </c>
      <c r="C42" s="17" t="n">
        <v>243</v>
      </c>
      <c r="D42" s="17" t="n">
        <v>38</v>
      </c>
      <c r="E42" s="17" t="n">
        <f aca="false">B42+6*D42</f>
        <v>1164</v>
      </c>
      <c r="F42" s="17" t="n">
        <v>1616</v>
      </c>
      <c r="G42" s="16" t="s">
        <v>527</v>
      </c>
      <c r="H42" s="16" t="s">
        <v>528</v>
      </c>
      <c r="I42" s="16" t="s">
        <v>529</v>
      </c>
      <c r="J42" s="18"/>
    </row>
    <row r="43" customFormat="false" ht="15" hidden="false" customHeight="false" outlineLevel="0" collapsed="false">
      <c r="A43" s="16" t="s">
        <v>492</v>
      </c>
      <c r="B43" s="17" t="n">
        <v>1083</v>
      </c>
      <c r="C43" s="17" t="n">
        <v>137</v>
      </c>
      <c r="D43" s="17" t="n">
        <v>11</v>
      </c>
      <c r="E43" s="17" t="n">
        <f aca="false">B43+6*D43</f>
        <v>1149</v>
      </c>
      <c r="F43" s="17" t="n">
        <v>513</v>
      </c>
      <c r="G43" s="16" t="s">
        <v>530</v>
      </c>
      <c r="H43" s="16" t="s">
        <v>531</v>
      </c>
      <c r="I43" s="16" t="s">
        <v>532</v>
      </c>
      <c r="J43" s="18"/>
    </row>
    <row r="44" customFormat="false" ht="15" hidden="false" customHeight="false" outlineLevel="0" collapsed="false">
      <c r="A44" s="16" t="s">
        <v>492</v>
      </c>
      <c r="B44" s="17" t="n">
        <v>927</v>
      </c>
      <c r="C44" s="17" t="n">
        <v>217</v>
      </c>
      <c r="D44" s="17" t="n">
        <v>15</v>
      </c>
      <c r="E44" s="17" t="n">
        <f aca="false">B44+6*D44</f>
        <v>1017</v>
      </c>
      <c r="F44" s="17" t="n">
        <v>1971</v>
      </c>
      <c r="G44" s="16" t="s">
        <v>533</v>
      </c>
      <c r="H44" s="16" t="s">
        <v>534</v>
      </c>
      <c r="I44" s="16" t="s">
        <v>535</v>
      </c>
      <c r="J44" s="18"/>
    </row>
    <row r="45" customFormat="false" ht="15" hidden="false" customHeight="false" outlineLevel="0" collapsed="false">
      <c r="A45" s="16" t="s">
        <v>520</v>
      </c>
      <c r="B45" s="17" t="n">
        <v>810</v>
      </c>
      <c r="C45" s="17" t="n">
        <v>144</v>
      </c>
      <c r="D45" s="17" t="n">
        <v>31</v>
      </c>
      <c r="E45" s="17" t="n">
        <f aca="false">B45+6*D45</f>
        <v>996</v>
      </c>
      <c r="F45" s="17" t="n">
        <v>2079</v>
      </c>
      <c r="G45" s="16" t="s">
        <v>536</v>
      </c>
      <c r="H45" s="16" t="s">
        <v>537</v>
      </c>
      <c r="I45" s="16" t="s">
        <v>538</v>
      </c>
      <c r="J45" s="18"/>
    </row>
    <row r="46" customFormat="false" ht="15" hidden="false" customHeight="false" outlineLevel="0" collapsed="false">
      <c r="A46" s="16" t="s">
        <v>520</v>
      </c>
      <c r="B46" s="17" t="n">
        <v>621</v>
      </c>
      <c r="C46" s="17" t="n">
        <v>159</v>
      </c>
      <c r="D46" s="17" t="n">
        <v>56</v>
      </c>
      <c r="E46" s="17" t="n">
        <f aca="false">B46+6*D46</f>
        <v>957</v>
      </c>
      <c r="F46" s="17" t="n">
        <v>2109</v>
      </c>
      <c r="G46" s="16" t="s">
        <v>539</v>
      </c>
      <c r="H46" s="16" t="s">
        <v>540</v>
      </c>
      <c r="I46" s="16" t="s">
        <v>541</v>
      </c>
      <c r="J46" s="18"/>
    </row>
    <row r="47" customFormat="false" ht="15" hidden="false" customHeight="false" outlineLevel="0" collapsed="false">
      <c r="A47" s="16" t="s">
        <v>492</v>
      </c>
      <c r="B47" s="17" t="n">
        <v>789</v>
      </c>
      <c r="C47" s="17" t="n">
        <v>253</v>
      </c>
      <c r="D47" s="17" t="n">
        <v>18</v>
      </c>
      <c r="E47" s="17" t="n">
        <f aca="false">B47+6*D47</f>
        <v>897</v>
      </c>
      <c r="F47" s="17" t="n">
        <v>1175</v>
      </c>
      <c r="G47" s="16" t="s">
        <v>542</v>
      </c>
      <c r="H47" s="16" t="s">
        <v>543</v>
      </c>
      <c r="I47" s="16" t="s">
        <v>544</v>
      </c>
      <c r="J47" s="18"/>
    </row>
    <row r="48" customFormat="false" ht="15" hidden="false" customHeight="false" outlineLevel="0" collapsed="false">
      <c r="A48" s="16" t="s">
        <v>520</v>
      </c>
      <c r="B48" s="17" t="n">
        <v>606</v>
      </c>
      <c r="C48" s="17" t="n">
        <v>349</v>
      </c>
      <c r="D48" s="17" t="n">
        <v>43</v>
      </c>
      <c r="E48" s="17" t="n">
        <f aca="false">B48+6*D48</f>
        <v>864</v>
      </c>
      <c r="F48" s="17" t="n">
        <v>2013</v>
      </c>
      <c r="G48" s="16" t="s">
        <v>545</v>
      </c>
      <c r="H48" s="16" t="s">
        <v>546</v>
      </c>
      <c r="I48" s="16" t="s">
        <v>547</v>
      </c>
      <c r="J48" s="18"/>
    </row>
    <row r="49" customFormat="false" ht="15" hidden="false" customHeight="false" outlineLevel="0" collapsed="false">
      <c r="A49" s="16" t="s">
        <v>492</v>
      </c>
      <c r="B49" s="17" t="n">
        <v>697</v>
      </c>
      <c r="C49" s="17" t="n">
        <v>170</v>
      </c>
      <c r="D49" s="17" t="n">
        <v>25</v>
      </c>
      <c r="E49" s="17" t="n">
        <f aca="false">B49+6*D49</f>
        <v>847</v>
      </c>
      <c r="F49" s="17" t="n">
        <v>2627</v>
      </c>
      <c r="G49" s="16" t="s">
        <v>548</v>
      </c>
      <c r="H49" s="16" t="s">
        <v>549</v>
      </c>
      <c r="I49" s="16" t="s">
        <v>550</v>
      </c>
      <c r="J49" s="18"/>
    </row>
    <row r="50" customFormat="false" ht="15" hidden="false" customHeight="false" outlineLevel="0" collapsed="false">
      <c r="A50" s="16" t="s">
        <v>520</v>
      </c>
      <c r="B50" s="17" t="n">
        <v>592</v>
      </c>
      <c r="C50" s="17" t="n">
        <v>137</v>
      </c>
      <c r="D50" s="17" t="n">
        <v>27</v>
      </c>
      <c r="E50" s="17" t="n">
        <f aca="false">B50+6*D50</f>
        <v>754</v>
      </c>
      <c r="F50" s="17" t="n">
        <v>1762</v>
      </c>
      <c r="G50" s="16" t="s">
        <v>551</v>
      </c>
      <c r="H50" s="16" t="s">
        <v>552</v>
      </c>
      <c r="I50" s="16" t="s">
        <v>553</v>
      </c>
      <c r="J50" s="18"/>
    </row>
    <row r="51" customFormat="false" ht="15" hidden="false" customHeight="false" outlineLevel="0" collapsed="false">
      <c r="A51" s="16" t="s">
        <v>520</v>
      </c>
      <c r="B51" s="17" t="n">
        <v>580</v>
      </c>
      <c r="C51" s="17" t="n">
        <v>134</v>
      </c>
      <c r="D51" s="17" t="n">
        <v>25</v>
      </c>
      <c r="E51" s="17" t="n">
        <f aca="false">B51+6*D51</f>
        <v>730</v>
      </c>
      <c r="F51" s="17" t="n">
        <v>2548</v>
      </c>
      <c r="G51" s="16" t="s">
        <v>554</v>
      </c>
      <c r="H51" s="16" t="s">
        <v>555</v>
      </c>
      <c r="I51" s="16" t="s">
        <v>556</v>
      </c>
      <c r="J51" s="18"/>
    </row>
    <row r="52" customFormat="false" ht="15" hidden="false" customHeight="false" outlineLevel="0" collapsed="false">
      <c r="A52" s="16" t="s">
        <v>557</v>
      </c>
      <c r="B52" s="17" t="n">
        <v>290</v>
      </c>
      <c r="C52" s="17" t="n">
        <v>136</v>
      </c>
      <c r="D52" s="17" t="n">
        <v>12</v>
      </c>
      <c r="E52" s="17" t="n">
        <f aca="false">B52+6*D52</f>
        <v>362</v>
      </c>
      <c r="F52" s="17" t="n">
        <v>1359</v>
      </c>
      <c r="G52" s="16" t="s">
        <v>558</v>
      </c>
      <c r="H52" s="16" t="s">
        <v>559</v>
      </c>
      <c r="I52" s="16" t="s">
        <v>560</v>
      </c>
      <c r="J52" s="18"/>
    </row>
    <row r="53" customFormat="false" ht="15" hidden="false" customHeight="false" outlineLevel="0" collapsed="false">
      <c r="A53" s="16" t="s">
        <v>557</v>
      </c>
      <c r="B53" s="17" t="n">
        <v>178</v>
      </c>
      <c r="C53" s="17" t="n">
        <v>78</v>
      </c>
      <c r="D53" s="17" t="n">
        <v>0</v>
      </c>
      <c r="E53" s="17" t="n">
        <f aca="false">B53+6*D53</f>
        <v>178</v>
      </c>
      <c r="F53" s="17" t="n">
        <v>2212</v>
      </c>
      <c r="G53" s="16" t="s">
        <v>561</v>
      </c>
      <c r="H53" s="16" t="s">
        <v>562</v>
      </c>
      <c r="I53" s="16" t="s">
        <v>563</v>
      </c>
      <c r="J53" s="18"/>
    </row>
    <row r="54" customFormat="false" ht="15" hidden="false" customHeight="false" outlineLevel="0" collapsed="false">
      <c r="A54" s="16" t="s">
        <v>557</v>
      </c>
      <c r="B54" s="17" t="n">
        <v>142</v>
      </c>
      <c r="C54" s="17" t="n">
        <v>72</v>
      </c>
      <c r="D54" s="17" t="n">
        <v>1</v>
      </c>
      <c r="E54" s="17" t="n">
        <f aca="false">B54+6*D54</f>
        <v>148</v>
      </c>
      <c r="F54" s="17" t="n">
        <v>2182</v>
      </c>
      <c r="G54" s="16" t="s">
        <v>564</v>
      </c>
      <c r="H54" s="16" t="s">
        <v>565</v>
      </c>
      <c r="I54" s="16" t="s">
        <v>566</v>
      </c>
      <c r="J54" s="18"/>
    </row>
    <row r="55" customFormat="false" ht="15" hidden="false" customHeight="false" outlineLevel="0" collapsed="false">
      <c r="A55" s="16" t="s">
        <v>557</v>
      </c>
      <c r="B55" s="17" t="n">
        <v>126</v>
      </c>
      <c r="C55" s="17" t="n">
        <v>114</v>
      </c>
      <c r="D55" s="17" t="n">
        <v>3</v>
      </c>
      <c r="E55" s="17" t="n">
        <f aca="false">B55+6*D55</f>
        <v>144</v>
      </c>
      <c r="F55" s="17" t="n">
        <v>1447</v>
      </c>
      <c r="G55" s="16" t="s">
        <v>567</v>
      </c>
      <c r="H55" s="16" t="s">
        <v>568</v>
      </c>
      <c r="I55" s="16" t="s">
        <v>569</v>
      </c>
      <c r="J55" s="18"/>
    </row>
    <row r="56" customFormat="false" ht="15" hidden="false" customHeight="false" outlineLevel="0" collapsed="false">
      <c r="A56" s="16" t="s">
        <v>557</v>
      </c>
      <c r="B56" s="17" t="n">
        <v>115</v>
      </c>
      <c r="C56" s="17" t="n">
        <v>107</v>
      </c>
      <c r="D56" s="17" t="n">
        <v>0</v>
      </c>
      <c r="E56" s="17" t="n">
        <f aca="false">B56+6*D56</f>
        <v>115</v>
      </c>
      <c r="F56" s="17" t="n">
        <v>1110</v>
      </c>
      <c r="G56" s="16" t="s">
        <v>570</v>
      </c>
      <c r="H56" s="16" t="s">
        <v>571</v>
      </c>
      <c r="I56" s="16" t="s">
        <v>572</v>
      </c>
      <c r="J56" s="18"/>
    </row>
    <row r="57" customFormat="false" ht="15" hidden="false" customHeight="false" outlineLevel="0" collapsed="false">
      <c r="A57" s="16" t="s">
        <v>557</v>
      </c>
      <c r="B57" s="17" t="n">
        <v>81</v>
      </c>
      <c r="C57" s="17" t="n">
        <v>96</v>
      </c>
      <c r="D57" s="17" t="n">
        <v>5</v>
      </c>
      <c r="E57" s="17" t="n">
        <f aca="false">B57+6*D57</f>
        <v>111</v>
      </c>
      <c r="F57" s="17" t="n">
        <v>1567</v>
      </c>
      <c r="G57" s="16" t="s">
        <v>573</v>
      </c>
      <c r="H57" s="16" t="s">
        <v>574</v>
      </c>
      <c r="I57" s="16" t="s">
        <v>575</v>
      </c>
      <c r="J57" s="18"/>
    </row>
    <row r="58" customFormat="false" ht="15" hidden="false" customHeight="false" outlineLevel="0" collapsed="false">
      <c r="A58" s="16" t="s">
        <v>557</v>
      </c>
      <c r="B58" s="17" t="n">
        <v>85</v>
      </c>
      <c r="C58" s="17" t="n">
        <v>57</v>
      </c>
      <c r="D58" s="17" t="n">
        <v>4</v>
      </c>
      <c r="E58" s="17" t="n">
        <f aca="false">B58+6*D58</f>
        <v>109</v>
      </c>
      <c r="F58" s="17" t="n">
        <v>715</v>
      </c>
      <c r="G58" s="16" t="s">
        <v>576</v>
      </c>
      <c r="H58" s="16" t="s">
        <v>577</v>
      </c>
      <c r="I58" s="16" t="s">
        <v>578</v>
      </c>
      <c r="J58" s="18"/>
    </row>
    <row r="59" customFormat="false" ht="15" hidden="false" customHeight="false" outlineLevel="0" collapsed="false">
      <c r="A59" s="16" t="s">
        <v>557</v>
      </c>
      <c r="B59" s="17" t="n">
        <v>82</v>
      </c>
      <c r="C59" s="17" t="n">
        <v>91</v>
      </c>
      <c r="D59" s="17" t="n">
        <v>2</v>
      </c>
      <c r="E59" s="17" t="n">
        <f aca="false">B59+6*D59</f>
        <v>94</v>
      </c>
      <c r="F59" s="17" t="n">
        <v>1414</v>
      </c>
      <c r="G59" s="16" t="s">
        <v>579</v>
      </c>
      <c r="H59" s="16" t="s">
        <v>580</v>
      </c>
      <c r="I59" s="16" t="s">
        <v>581</v>
      </c>
      <c r="J59" s="18"/>
    </row>
    <row r="61" customFormat="false" ht="15" hidden="false" customHeight="false" outlineLevel="0" collapsed="false">
      <c r="A61" s="6" t="s">
        <v>582</v>
      </c>
    </row>
    <row r="62" customFormat="false" ht="15" hidden="false" customHeight="false" outlineLevel="0" collapsed="false">
      <c r="A62" s="0" t="s">
        <v>520</v>
      </c>
      <c r="B62" s="19" t="n">
        <f aca="false">AVERAGEIF($A$4:$A$59,"banks",$B$4:$B$59)</f>
        <v>764</v>
      </c>
      <c r="D62" s="19" t="n">
        <f aca="false">AVERAGEIF($A$4:$A$59,"banks",$D$4:$D$59)</f>
        <v>43.5</v>
      </c>
    </row>
    <row r="63" customFormat="false" ht="15" hidden="false" customHeight="false" outlineLevel="0" collapsed="false">
      <c r="A63" s="0" t="s">
        <v>413</v>
      </c>
      <c r="B63" s="19" t="n">
        <f aca="false">AVERAGEIF($A$4:$A$59,"donnelly",$B$4:$B$59)</f>
        <v>2173.625</v>
      </c>
      <c r="D63" s="19" t="n">
        <f aca="false">AVERAGEIF($A$4:$A$59,"donnelly",$D$4:$D$59)</f>
        <v>209.375</v>
      </c>
    </row>
    <row r="64" customFormat="false" ht="15" hidden="false" customHeight="false" outlineLevel="0" collapsed="false">
      <c r="A64" s="0" t="s">
        <v>557</v>
      </c>
      <c r="B64" s="19" t="n">
        <f aca="false">AVERAGEIF($A$4:$A$59,"grandillon",$B$4:$B$59)</f>
        <v>137.375</v>
      </c>
      <c r="D64" s="19" t="n">
        <f aca="false">AVERAGEIF($A$4:$A$59,"grandillon",$D$4:$D$59)</f>
        <v>3.375</v>
      </c>
    </row>
    <row r="65" customFormat="false" ht="15" hidden="false" customHeight="false" outlineLevel="0" collapsed="false">
      <c r="A65" s="0" t="s">
        <v>409</v>
      </c>
      <c r="B65" s="19" t="n">
        <f aca="false">AVERAGEIF($A$4:$A$59,"hassid",$B$4:$B$59)</f>
        <v>1962.5</v>
      </c>
      <c r="D65" s="19" t="n">
        <f aca="false">AVERAGEIF($A$4:$A$59,"hassid",$D$4:$D$59)</f>
        <v>165.875</v>
      </c>
    </row>
    <row r="66" customFormat="false" ht="15" hidden="false" customHeight="false" outlineLevel="0" collapsed="false">
      <c r="A66" s="0" t="s">
        <v>442</v>
      </c>
      <c r="B66" s="19" t="n">
        <f aca="false">AVERAGEIF($A$4:$A$59,"hills",$B$4:$B$59)</f>
        <v>1351.375</v>
      </c>
      <c r="D66" s="19" t="n">
        <f aca="false">AVERAGEIF($A$4:$A$59,"hills",$D$4:$D$59)</f>
        <v>166.75</v>
      </c>
    </row>
    <row r="67" customFormat="false" ht="15" hidden="false" customHeight="false" outlineLevel="0" collapsed="false">
      <c r="A67" s="0" t="s">
        <v>426</v>
      </c>
      <c r="B67" s="19" t="n">
        <f aca="false">AVERAGEIF($A$4:$A$59,"lara",$B$4:$B$59)</f>
        <v>2456.5</v>
      </c>
      <c r="D67" s="19" t="n">
        <f aca="false">AVERAGEIF($A$4:$A$59,"lara",$D$4:$D$59)</f>
        <v>58.625</v>
      </c>
    </row>
    <row r="68" customFormat="false" ht="15" hidden="false" customHeight="false" outlineLevel="0" collapsed="false">
      <c r="A68" s="0" t="s">
        <v>492</v>
      </c>
      <c r="B68" s="19" t="n">
        <f aca="false">AVERAGEIF($A$4:$A$59,"miller",$B$4:$B$59)</f>
        <v>1108.625</v>
      </c>
      <c r="D68" s="19" t="n">
        <f aca="false">AVERAGEIF($A$4:$A$59,"miller",$D$4:$D$59)</f>
        <v>36.625</v>
      </c>
    </row>
    <row r="69" customFormat="false" ht="15" hidden="false" customHeight="false" outlineLevel="0" collapsed="false">
      <c r="A69" s="15" t="s">
        <v>583</v>
      </c>
    </row>
  </sheetData>
  <autoFilter ref="A3:J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8"/>
    <col collapsed="false" customWidth="true" hidden="false" outlineLevel="0" max="4" min="4" style="0" width="12"/>
    <col collapsed="false" customWidth="true" hidden="false" outlineLevel="0" max="5" min="5" style="0" width="10"/>
    <col collapsed="false" customWidth="true" hidden="false" outlineLevel="0" max="6" min="6" style="0" width="14"/>
    <col collapsed="false" customWidth="true" hidden="false" outlineLevel="0" max="7" min="7" style="0" width="16"/>
    <col collapsed="false" customWidth="true" hidden="false" outlineLevel="0" max="9" min="8" style="0" width="10"/>
    <col collapsed="false" customWidth="true" hidden="false" outlineLevel="0" max="10" min="10" style="0" width="14"/>
    <col collapsed="false" customWidth="true" hidden="false" outlineLevel="0" max="12" min="11" style="0" width="12"/>
    <col collapsed="false" customWidth="true" hidden="false" outlineLevel="0" max="13" min="13" style="0" width="60"/>
  </cols>
  <sheetData>
    <row r="1" customFormat="false" ht="17.35" hidden="false" customHeight="false" outlineLevel="0" collapsed="false">
      <c r="A1" s="1" t="s">
        <v>584</v>
      </c>
    </row>
    <row r="2" customFormat="false" ht="15" hidden="false" customHeight="false" outlineLevel="0" collapsed="false">
      <c r="A2" s="2" t="s">
        <v>585</v>
      </c>
    </row>
    <row r="3" customFormat="false" ht="35.05" hidden="false" customHeight="false" outlineLevel="0" collapsed="false">
      <c r="A3" s="5" t="s">
        <v>586</v>
      </c>
      <c r="B3" s="5" t="s">
        <v>587</v>
      </c>
      <c r="C3" s="5" t="s">
        <v>588</v>
      </c>
      <c r="D3" s="5" t="s">
        <v>589</v>
      </c>
      <c r="E3" s="5" t="s">
        <v>590</v>
      </c>
      <c r="F3" s="5" t="s">
        <v>591</v>
      </c>
      <c r="G3" s="5" t="s">
        <v>592</v>
      </c>
      <c r="H3" s="5" t="s">
        <v>593</v>
      </c>
      <c r="I3" s="5" t="s">
        <v>103</v>
      </c>
      <c r="J3" s="5" t="s">
        <v>594</v>
      </c>
      <c r="K3" s="5" t="s">
        <v>595</v>
      </c>
      <c r="L3" s="5" t="s">
        <v>596</v>
      </c>
      <c r="M3" s="5" t="s">
        <v>135</v>
      </c>
    </row>
    <row r="4" customFormat="false" ht="15" hidden="false" customHeight="false" outlineLevel="0" collapsed="false">
      <c r="A4" s="20" t="n">
        <v>46293</v>
      </c>
      <c r="B4" s="18" t="n">
        <v>3</v>
      </c>
      <c r="C4" s="18" t="n">
        <v>14</v>
      </c>
      <c r="D4" s="18" t="n">
        <v>6</v>
      </c>
      <c r="E4" s="18" t="n">
        <v>4</v>
      </c>
      <c r="F4" s="18" t="n">
        <v>2</v>
      </c>
      <c r="G4" s="18" t="n">
        <v>3</v>
      </c>
      <c r="H4" s="18" t="n">
        <v>1</v>
      </c>
      <c r="I4" s="18" t="n">
        <v>0</v>
      </c>
      <c r="J4" s="18" t="n">
        <v>4100</v>
      </c>
      <c r="K4" s="21" t="n">
        <f aca="false">IFERROR(G4/E4,0)</f>
        <v>0.75</v>
      </c>
      <c r="L4" s="21" t="n">
        <f aca="false">IFERROR(H4/G4,0)</f>
        <v>0.333333333333333</v>
      </c>
      <c r="M4" s="22" t="s">
        <v>597</v>
      </c>
    </row>
    <row r="5" customFormat="false" ht="15" hidden="false" customHeight="false" outlineLevel="0" collapsed="false">
      <c r="A5" s="20" t="n">
        <v>46300</v>
      </c>
      <c r="B5" s="18"/>
      <c r="C5" s="18"/>
      <c r="D5" s="18"/>
      <c r="E5" s="18"/>
      <c r="F5" s="18"/>
      <c r="G5" s="18"/>
      <c r="H5" s="18"/>
      <c r="I5" s="18"/>
      <c r="J5" s="18"/>
      <c r="K5" s="21" t="n">
        <f aca="false">IFERROR(G5/E5,0)</f>
        <v>0</v>
      </c>
      <c r="L5" s="21" t="n">
        <f aca="false">IFERROR(H5/G5,0)</f>
        <v>0</v>
      </c>
      <c r="M5" s="16"/>
    </row>
    <row r="6" customFormat="false" ht="15" hidden="false" customHeight="false" outlineLevel="0" collapsed="false">
      <c r="A6" s="20" t="n">
        <v>46307</v>
      </c>
      <c r="B6" s="18"/>
      <c r="C6" s="18"/>
      <c r="D6" s="18"/>
      <c r="E6" s="18"/>
      <c r="F6" s="18"/>
      <c r="G6" s="18"/>
      <c r="H6" s="18"/>
      <c r="I6" s="18"/>
      <c r="J6" s="18"/>
      <c r="K6" s="21" t="n">
        <f aca="false">IFERROR(G6/E6,0)</f>
        <v>0</v>
      </c>
      <c r="L6" s="21" t="n">
        <f aca="false">IFERROR(H6/G6,0)</f>
        <v>0</v>
      </c>
      <c r="M6" s="16"/>
    </row>
    <row r="7" customFormat="false" ht="15" hidden="false" customHeight="false" outlineLevel="0" collapsed="false">
      <c r="A7" s="20" t="n">
        <v>46314</v>
      </c>
      <c r="B7" s="18"/>
      <c r="C7" s="18"/>
      <c r="D7" s="18"/>
      <c r="E7" s="18"/>
      <c r="F7" s="18"/>
      <c r="G7" s="18"/>
      <c r="H7" s="18"/>
      <c r="I7" s="18"/>
      <c r="J7" s="18"/>
      <c r="K7" s="21" t="n">
        <f aca="false">IFERROR(G7/E7,0)</f>
        <v>0</v>
      </c>
      <c r="L7" s="21" t="n">
        <f aca="false">IFERROR(H7/G7,0)</f>
        <v>0</v>
      </c>
      <c r="M7" s="16"/>
    </row>
    <row r="8" customFormat="false" ht="15" hidden="false" customHeight="false" outlineLevel="0" collapsed="false">
      <c r="A8" s="16"/>
      <c r="B8" s="16"/>
      <c r="C8" s="16"/>
      <c r="D8" s="16"/>
      <c r="E8" s="16"/>
      <c r="F8" s="16"/>
      <c r="G8" s="16"/>
      <c r="H8" s="16"/>
      <c r="I8" s="16"/>
      <c r="J8" s="16"/>
      <c r="K8" s="16"/>
      <c r="L8" s="16"/>
      <c r="M8" s="16"/>
    </row>
    <row r="9" customFormat="false" ht="15" hidden="false" customHeight="false" outlineLevel="0" collapsed="false">
      <c r="A9" s="16" t="s">
        <v>598</v>
      </c>
      <c r="B9" s="16" t="n">
        <f aca="false">SUM(B4:B7)</f>
        <v>3</v>
      </c>
      <c r="C9" s="16" t="n">
        <f aca="false">SUM(C4:C7)</f>
        <v>14</v>
      </c>
      <c r="D9" s="16" t="n">
        <f aca="false">SUM(D4:D7)</f>
        <v>6</v>
      </c>
      <c r="E9" s="16" t="n">
        <f aca="false">SUM(E4:E7)</f>
        <v>4</v>
      </c>
      <c r="F9" s="16" t="n">
        <f aca="false">SUM(F4:F7)</f>
        <v>2</v>
      </c>
      <c r="G9" s="16" t="n">
        <f aca="false">SUM(G4:G7)</f>
        <v>3</v>
      </c>
      <c r="H9" s="16" t="n">
        <f aca="false">SUM(H4:H7)</f>
        <v>1</v>
      </c>
      <c r="I9" s="16" t="n">
        <f aca="false">SUM(I4:I7)</f>
        <v>0</v>
      </c>
      <c r="J9" s="16" t="n">
        <f aca="false">SUM(J4:J7)</f>
        <v>4100</v>
      </c>
      <c r="K9" s="21" t="n">
        <f aca="false">IFERROR(G9/E9,0)</f>
        <v>0.75</v>
      </c>
      <c r="L9" s="21" t="n">
        <f aca="false">IFERROR(H9/G9,0)</f>
        <v>0.333333333333333</v>
      </c>
      <c r="M9" s="16"/>
    </row>
    <row r="11" customFormat="false" ht="15" hidden="false" customHeight="false" outlineLevel="0" collapsed="false">
      <c r="A11" s="6" t="s">
        <v>599</v>
      </c>
    </row>
    <row r="12" customFormat="false" ht="15" hidden="false" customHeight="false" outlineLevel="0" collapsed="false">
      <c r="A12" s="23" t="s">
        <v>600</v>
      </c>
      <c r="B12" s="23"/>
      <c r="C12" s="23"/>
      <c r="D12" s="23"/>
      <c r="E12" s="23"/>
      <c r="F12" s="6" t="str">
        <f aca="false">IF(F9&gt;=5,"Yes: keep the resource, tune the post","No: change the resource before changing anything else")</f>
        <v>No: change the resource before changing anything else</v>
      </c>
    </row>
  </sheetData>
  <mergeCells count="1">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2026-09-23T21:04:57Z</dcterms:created>
  <dc:creator>openpyxl</dc:creator>
  <dc:description/>
  <dc:language>en-US</dc:language>
  <cp:lastModifiedBy/>
  <dcterms:modified xsi:type="dcterms:W3CDTF">2026-09-23T21:04:57Z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